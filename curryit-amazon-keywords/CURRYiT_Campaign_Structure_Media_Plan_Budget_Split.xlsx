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0" windowWidth="11712" windowHeight="12336" tabRatio="600" firstSheet="2" activeTab="7" autoFilterDateGrouping="1"/>
  </bookViews>
  <sheets>
    <sheet xmlns:r="http://schemas.openxmlformats.org/officeDocument/2006/relationships" name="All keywords" sheetId="1" state="visible" r:id="rId1"/>
    <sheet xmlns:r="http://schemas.openxmlformats.org/officeDocument/2006/relationships" name="Generic Kws" sheetId="2" state="visible" r:id="rId2"/>
    <sheet xmlns:r="http://schemas.openxmlformats.org/officeDocument/2006/relationships" name="Brand Kws" sheetId="3" state="visible" r:id="rId3"/>
    <sheet xmlns:r="http://schemas.openxmlformats.org/officeDocument/2006/relationships" name="Comp Keywords" sheetId="4" state="visible" r:id="rId4"/>
    <sheet xmlns:r="http://schemas.openxmlformats.org/officeDocument/2006/relationships" name="SP Campaign" sheetId="5" state="visible" r:id="rId5"/>
    <sheet xmlns:r="http://schemas.openxmlformats.org/officeDocument/2006/relationships" name="SB Campaign" sheetId="6" state="visible" r:id="rId6"/>
    <sheet xmlns:r="http://schemas.openxmlformats.org/officeDocument/2006/relationships" name="SD Campaign" sheetId="7" state="visible" r:id="rId7"/>
    <sheet xmlns:r="http://schemas.openxmlformats.org/officeDocument/2006/relationships" name="Media Planning" sheetId="8" state="visible" r:id="rId8"/>
    <sheet xmlns:r="http://schemas.openxmlformats.org/officeDocument/2006/relationships" name="Budget Split" sheetId="9" state="visible" r:id="rId9"/>
  </sheets>
  <definedNames>
    <definedName name="_xlnm._FilterDatabase" localSheetId="0" hidden="1">'All keywords'!$A$1:$H$243</definedName>
    <definedName name="_xlnm._FilterDatabase" localSheetId="1" hidden="1">'Generic Kws'!$A$1:$H$206</definedName>
  </definedNames>
  <calcPr calcId="191029" fullCalcOnLoad="1"/>
</workbook>
</file>

<file path=xl/styles.xml><?xml version="1.0" encoding="utf-8"?>
<styleSheet xmlns="http://schemas.openxmlformats.org/spreadsheetml/2006/main">
  <numFmts count="5">
    <numFmt numFmtId="164" formatCode="&quot;₹&quot;\ #,##0;[Red]&quot;₹&quot;\ \-#,##0"/>
    <numFmt numFmtId="165" formatCode="_ * #,##0_ ;_ * \-#,##0_ ;_ * &quot;-&quot;??_ ;_ @_ "/>
    <numFmt numFmtId="166" formatCode="0.0%"/>
    <numFmt numFmtId="167" formatCode="&quot;₹&quot;\ #,##0"/>
    <numFmt numFmtId="168" formatCode="₹#,##0"/>
  </numFmts>
  <fonts count="21">
    <font>
      <name val="Calibri"/>
      <family val="2"/>
      <color theme="1"/>
      <sz val="11"/>
      <scheme val="minor"/>
    </font>
    <font>
      <name val="Calibri"/>
      <family val="2"/>
      <b val="1"/>
      <color theme="1"/>
      <sz val="11"/>
      <scheme val="minor"/>
    </font>
    <font>
      <name val="Arial"/>
      <family val="2"/>
      <color theme="1"/>
      <sz val="10"/>
    </font>
    <font>
      <name val="Arial"/>
      <family val="2"/>
      <b val="1"/>
      <color theme="1"/>
      <sz val="10"/>
    </font>
    <font>
      <name val="Calibri"/>
      <b val="1"/>
      <color rgb="FFC00000"/>
      <sz val="11"/>
    </font>
    <font>
      <name val="Calibri"/>
      <family val="2"/>
      <b val="1"/>
      <color theme="1"/>
      <sz val="14"/>
    </font>
    <font>
      <name val="Calibri"/>
      <family val="2"/>
      <b val="1"/>
      <color rgb="FFC00000"/>
      <sz val="11"/>
    </font>
    <font>
      <name val="Calibri"/>
      <family val="2"/>
      <color theme="1"/>
      <sz val="11"/>
    </font>
    <font>
      <name val="Calibri"/>
      <family val="2"/>
      <b val="1"/>
      <sz val="11"/>
    </font>
    <font>
      <name val="Calibri"/>
      <family val="2"/>
      <sz val="11"/>
    </font>
    <font>
      <name val="Calibri"/>
      <family val="2"/>
      <color rgb="FFC00000"/>
      <sz val="11"/>
      <scheme val="minor"/>
    </font>
    <font>
      <name val="Calibri"/>
      <family val="2"/>
      <b val="1"/>
      <color rgb="FFFFFFFF"/>
      <sz val="11"/>
    </font>
    <font>
      <name val="Calibri"/>
      <family val="2"/>
      <b val="1"/>
      <color rgb="FFC00000"/>
      <sz val="11"/>
      <scheme val="minor"/>
    </font>
    <font>
      <name val="Calibri"/>
      <family val="2"/>
      <color theme="1"/>
      <sz val="11"/>
      <scheme val="minor"/>
    </font>
    <font>
      <name val="Arial"/>
      <charset val="134"/>
      <color theme="1"/>
      <sz val="18"/>
    </font>
    <font>
      <name val="Arial"/>
      <charset val="134"/>
      <b val="1"/>
      <color theme="1"/>
      <sz val="10"/>
    </font>
    <font>
      <name val="Arial"/>
      <charset val="134"/>
      <color theme="1"/>
      <sz val="10"/>
    </font>
    <font>
      <name val="Calibri"/>
      <charset val="134"/>
      <b val="1"/>
      <color theme="1"/>
      <sz val="14"/>
      <scheme val="minor"/>
    </font>
    <font>
      <name val="Calibri"/>
      <charset val="134"/>
      <b val="1"/>
      <color theme="1"/>
      <sz val="12"/>
      <scheme val="minor"/>
    </font>
    <font>
      <b val="1"/>
    </font>
    <font>
      <b val="1"/>
      <sz val="14"/>
    </font>
  </fonts>
  <fills count="11">
    <fill>
      <patternFill/>
    </fill>
    <fill>
      <patternFill patternType="gray125"/>
    </fill>
    <fill>
      <patternFill patternType="solid">
        <fgColor theme="9"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1E5646"/>
      </patternFill>
    </fill>
    <fill>
      <patternFill patternType="solid">
        <fgColor theme="9" tint="0.3999145481734672"/>
        <bgColor indexed="64"/>
      </patternFill>
    </fill>
    <fill>
      <patternFill patternType="solid">
        <fgColor theme="9" tint="0.3999755851924192"/>
        <bgColor indexed="64"/>
      </patternFill>
    </fill>
    <fill>
      <patternFill patternType="solid">
        <fgColor rgb="00A9D08E"/>
      </patternFill>
    </fill>
    <fill>
      <patternFill patternType="solid">
        <fgColor rgb="00FFF2CC"/>
      </patternFill>
    </fill>
    <fill>
      <patternFill patternType="solid">
        <fgColor rgb="00E2EFDA"/>
      </patternFill>
    </fill>
  </fills>
  <borders count="1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rgb="FFD9E1E5"/>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rgb="00808080"/>
      </left>
      <right style="thin">
        <color rgb="00808080"/>
      </right>
      <top style="thin">
        <color rgb="00808080"/>
      </top>
      <bottom style="thin">
        <color rgb="00808080"/>
      </bottom>
    </border>
    <border>
      <left/>
      <right/>
      <top style="thin">
        <color rgb="00808080"/>
      </top>
      <bottom/>
      <diagonal/>
    </border>
    <border>
      <left/>
      <right style="thin">
        <color rgb="00808080"/>
      </right>
      <top style="thin">
        <color rgb="00808080"/>
      </top>
      <bottom/>
      <diagonal/>
    </border>
    <border>
      <left/>
      <right/>
      <top style="thin">
        <color rgb="00808080"/>
      </top>
      <bottom style="thin">
        <color rgb="00808080"/>
      </bottom>
      <diagonal/>
    </border>
    <border>
      <left/>
      <right style="thin">
        <color rgb="00808080"/>
      </right>
      <top style="thin">
        <color rgb="00808080"/>
      </top>
      <bottom style="thin">
        <color rgb="00808080"/>
      </bottom>
      <diagonal/>
    </border>
  </borders>
  <cellStyleXfs count="3">
    <xf numFmtId="0" fontId="13" fillId="0" borderId="0"/>
    <xf numFmtId="43" fontId="13" fillId="0" borderId="0"/>
    <xf numFmtId="9" fontId="13" fillId="0" borderId="0"/>
  </cellStyleXfs>
  <cellXfs count="82">
    <xf numFmtId="0" fontId="0" fillId="0" borderId="0" pivotButton="0" quotePrefix="0" xfId="0"/>
    <xf numFmtId="0" fontId="0" fillId="0" borderId="0" applyAlignment="1" pivotButton="0" quotePrefix="0" xfId="0">
      <alignment wrapText="1"/>
    </xf>
    <xf numFmtId="0" fontId="0" fillId="0" borderId="0" applyAlignment="1" pivotButton="0" quotePrefix="0" xfId="0">
      <alignment horizontal="left" vertical="center" wrapText="1"/>
    </xf>
    <xf numFmtId="0" fontId="3" fillId="2" borderId="1" applyAlignment="1" pivotButton="0" quotePrefix="0" xfId="0">
      <alignment horizontal="left" vertical="center" wrapText="1"/>
    </xf>
    <xf numFmtId="0" fontId="0" fillId="0" borderId="1" applyAlignment="1" pivotButton="0" quotePrefix="0" xfId="0">
      <alignment horizontal="left" vertical="center" wrapText="1"/>
    </xf>
    <xf numFmtId="0" fontId="2" fillId="0" borderId="1" applyAlignment="1" pivotButton="0" quotePrefix="0" xfId="0">
      <alignment horizontal="left" vertical="center" wrapText="1"/>
    </xf>
    <xf numFmtId="0" fontId="1" fillId="0" borderId="1"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2" applyAlignment="1" pivotButton="0" quotePrefix="0" xfId="0">
      <alignment horizontal="left" vertical="center" wrapText="1"/>
    </xf>
    <xf numFmtId="0" fontId="1" fillId="3" borderId="1" applyAlignment="1" pivotButton="0" quotePrefix="0" xfId="0">
      <alignment horizontal="left" vertical="center" wrapText="1"/>
    </xf>
    <xf numFmtId="0" fontId="3" fillId="3" borderId="1" applyAlignment="1" pivotButton="0" quotePrefix="0" xfId="0">
      <alignment horizontal="left" vertical="center" wrapText="1"/>
    </xf>
    <xf numFmtId="0" fontId="1" fillId="3" borderId="0" applyAlignment="1" pivotButton="0" quotePrefix="0" xfId="0">
      <alignment horizontal="left" vertical="center" wrapText="1"/>
    </xf>
    <xf numFmtId="0" fontId="0" fillId="0" borderId="0" applyAlignment="1" pivotButton="0" quotePrefix="0" xfId="0">
      <alignment vertical="center" wrapText="1"/>
    </xf>
    <xf numFmtId="0" fontId="0" fillId="0" borderId="0" applyAlignment="1" pivotButton="0" quotePrefix="0" xfId="0">
      <alignment horizontal="center" vertical="center"/>
    </xf>
    <xf numFmtId="0" fontId="3" fillId="2" borderId="2" applyAlignment="1" pivotButton="0" quotePrefix="0" xfId="0">
      <alignment horizontal="left" vertical="center" wrapText="1"/>
    </xf>
    <xf numFmtId="0" fontId="0" fillId="4"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wrapText="1"/>
    </xf>
    <xf numFmtId="0" fontId="3" fillId="2" borderId="1" applyAlignment="1" pivotButton="0" quotePrefix="0" xfId="0">
      <alignment horizontal="center" vertical="center" wrapText="1"/>
    </xf>
    <xf numFmtId="0" fontId="3" fillId="2" borderId="2" applyAlignment="1" pivotButton="0" quotePrefix="0" xfId="0">
      <alignment horizontal="center" vertical="center" wrapText="1"/>
    </xf>
    <xf numFmtId="0" fontId="8" fillId="4" borderId="1" applyAlignment="1" pivotButton="0" quotePrefix="0" xfId="0">
      <alignment horizontal="center" vertical="center" wrapText="1"/>
    </xf>
    <xf numFmtId="0" fontId="11" fillId="5" borderId="0" applyAlignment="1" pivotButton="0" quotePrefix="0" xfId="0">
      <alignment horizontal="center" vertical="center"/>
    </xf>
    <xf numFmtId="0" fontId="11" fillId="5" borderId="3" applyAlignment="1" pivotButton="0" quotePrefix="0" xfId="0">
      <alignment horizontal="center" vertical="center"/>
    </xf>
    <xf numFmtId="0" fontId="10" fillId="0" borderId="1" applyAlignment="1" pivotButton="0" quotePrefix="0" xfId="0">
      <alignment horizontal="left" vertical="center" wrapText="1"/>
    </xf>
    <xf numFmtId="0" fontId="0" fillId="0" borderId="0" applyAlignment="1" pivotButton="0" quotePrefix="0" xfId="0">
      <alignment horizontal="center" vertical="center" wrapText="1"/>
    </xf>
    <xf numFmtId="0" fontId="0" fillId="0" borderId="1" applyAlignment="1" pivotButton="0" quotePrefix="0" xfId="0">
      <alignment horizontal="center" vertical="center"/>
    </xf>
    <xf numFmtId="0" fontId="5" fillId="4" borderId="0" applyAlignment="1" pivotButton="0" quotePrefix="0" xfId="0">
      <alignment horizontal="center"/>
    </xf>
    <xf numFmtId="0" fontId="0" fillId="4" borderId="0" pivotButton="0" quotePrefix="0" xfId="0"/>
    <xf numFmtId="0" fontId="0" fillId="4" borderId="2" applyAlignment="1" pivotButton="0" quotePrefix="0" xfId="0">
      <alignment vertical="center" wrapText="1"/>
    </xf>
    <xf numFmtId="0" fontId="0" fillId="4" borderId="2" applyAlignment="1" pivotButton="0" quotePrefix="0" xfId="0">
      <alignment wrapText="1"/>
    </xf>
    <xf numFmtId="0" fontId="0" fillId="4" borderId="1" applyAlignment="1" pivotButton="0" quotePrefix="0" xfId="0">
      <alignment vertical="center" wrapText="1"/>
    </xf>
    <xf numFmtId="0" fontId="0" fillId="4" borderId="1" pivotButton="0" quotePrefix="0" xfId="0"/>
    <xf numFmtId="0" fontId="0" fillId="4" borderId="1" applyAlignment="1" pivotButton="0" quotePrefix="0" xfId="0">
      <alignment horizontal="center" vertical="center"/>
    </xf>
    <xf numFmtId="0" fontId="0" fillId="4" borderId="1" applyAlignment="1" pivotButton="0" quotePrefix="0" xfId="0">
      <alignment horizontal="center" vertical="center" wrapText="1"/>
    </xf>
    <xf numFmtId="0" fontId="6" fillId="4" borderId="1" applyAlignment="1" pivotButton="0" quotePrefix="0" xfId="0">
      <alignment horizontal="center" vertical="center" wrapText="1"/>
    </xf>
    <xf numFmtId="0" fontId="4" fillId="4" borderId="1" applyAlignment="1" pivotButton="0" quotePrefix="0" xfId="0">
      <alignment horizontal="center" vertical="center"/>
    </xf>
    <xf numFmtId="0" fontId="14" fillId="6" borderId="1" applyAlignment="1" pivotButton="0" quotePrefix="0" xfId="0">
      <alignment horizontal="center" wrapText="1"/>
    </xf>
    <xf numFmtId="0" fontId="15" fillId="2" borderId="1" applyAlignment="1" pivotButton="0" quotePrefix="0" xfId="0">
      <alignment wrapText="1"/>
    </xf>
    <xf numFmtId="0" fontId="16" fillId="0" borderId="1" applyAlignment="1" pivotButton="0" quotePrefix="0" xfId="0">
      <alignment wrapText="1"/>
    </xf>
    <xf numFmtId="1" fontId="16" fillId="0" borderId="1" applyAlignment="1" pivotButton="0" quotePrefix="0" xfId="0">
      <alignment wrapText="1"/>
    </xf>
    <xf numFmtId="10" fontId="16" fillId="0" borderId="1" applyAlignment="1" pivotButton="0" quotePrefix="0" xfId="0">
      <alignment horizontal="right" wrapText="1"/>
    </xf>
    <xf numFmtId="1" fontId="0" fillId="0" borderId="1" applyAlignment="1" pivotButton="0" quotePrefix="0" xfId="0">
      <alignment wrapText="1"/>
    </xf>
    <xf numFmtId="0" fontId="17" fillId="0" borderId="0" applyAlignment="1" pivotButton="0" quotePrefix="0" xfId="0">
      <alignment wrapText="1"/>
    </xf>
    <xf numFmtId="0" fontId="18" fillId="0" borderId="0" applyAlignment="1" pivotButton="0" quotePrefix="0" xfId="0">
      <alignment wrapText="1"/>
    </xf>
    <xf numFmtId="0" fontId="18" fillId="7" borderId="1" applyAlignment="1" pivotButton="0" quotePrefix="0" xfId="0">
      <alignment wrapText="1"/>
    </xf>
    <xf numFmtId="0" fontId="18" fillId="7" borderId="1" applyAlignment="1" pivotButton="0" quotePrefix="0" xfId="0">
      <alignment horizontal="center" wrapText="1"/>
    </xf>
    <xf numFmtId="0" fontId="0" fillId="7" borderId="1" applyAlignment="1" pivotButton="0" quotePrefix="0" xfId="0">
      <alignment wrapText="1"/>
    </xf>
    <xf numFmtId="0" fontId="0" fillId="0" borderId="1" applyAlignment="1" pivotButton="0" quotePrefix="0" xfId="0">
      <alignment horizontal="center" wrapText="1"/>
    </xf>
    <xf numFmtId="164" fontId="16" fillId="0" borderId="1" applyAlignment="1" pivotButton="0" quotePrefix="0" xfId="0">
      <alignment wrapText="1"/>
    </xf>
    <xf numFmtId="165" fontId="16" fillId="0" borderId="1" applyAlignment="1" pivotButton="0" quotePrefix="0" xfId="1">
      <alignment horizontal="right" wrapText="1"/>
    </xf>
    <xf numFmtId="166" fontId="16" fillId="0" borderId="1" applyAlignment="1" pivotButton="0" quotePrefix="0" xfId="0">
      <alignment wrapText="1"/>
    </xf>
    <xf numFmtId="9" fontId="16" fillId="0" borderId="1" applyAlignment="1" pivotButton="0" quotePrefix="0" xfId="0">
      <alignment wrapText="1"/>
    </xf>
    <xf numFmtId="167" fontId="16" fillId="0" borderId="1" applyAlignment="1" pivotButton="0" quotePrefix="0" xfId="0">
      <alignment wrapText="1"/>
    </xf>
    <xf numFmtId="165" fontId="16" fillId="0" borderId="1" applyAlignment="1" pivotButton="0" quotePrefix="0" xfId="0">
      <alignment wrapText="1"/>
    </xf>
    <xf numFmtId="1" fontId="16" fillId="0" borderId="1" applyAlignment="1" pivotButton="0" quotePrefix="0" xfId="2">
      <alignment wrapText="1"/>
    </xf>
    <xf numFmtId="0" fontId="0" fillId="0" borderId="5" pivotButton="0" quotePrefix="0" xfId="0"/>
    <xf numFmtId="0" fontId="0" fillId="0" borderId="7" pivotButton="0" quotePrefix="0" xfId="0"/>
    <xf numFmtId="0" fontId="0" fillId="0" borderId="6" pivotButton="0" quotePrefix="0" xfId="0"/>
    <xf numFmtId="0" fontId="0" fillId="0" borderId="8" pivotButton="0" quotePrefix="0" xfId="0"/>
    <xf numFmtId="0" fontId="0" fillId="0" borderId="11" pivotButton="0" quotePrefix="0" xfId="0"/>
    <xf numFmtId="0" fontId="0" fillId="0" borderId="2" pivotButton="0" quotePrefix="0" xfId="0"/>
    <xf numFmtId="165" fontId="16" fillId="0" borderId="1" applyAlignment="1" pivotButton="0" quotePrefix="0" xfId="0">
      <alignment wrapText="1"/>
    </xf>
    <xf numFmtId="166" fontId="16" fillId="0" borderId="1" applyAlignment="1" pivotButton="0" quotePrefix="0" xfId="0">
      <alignment wrapText="1"/>
    </xf>
    <xf numFmtId="167" fontId="16" fillId="0" borderId="1" applyAlignment="1" pivotButton="0" quotePrefix="0" xfId="0">
      <alignment wrapText="1"/>
    </xf>
    <xf numFmtId="165" fontId="16" fillId="0" borderId="1" applyAlignment="1" pivotButton="0" quotePrefix="0" xfId="1">
      <alignment horizontal="right" wrapText="1"/>
    </xf>
    <xf numFmtId="164" fontId="16" fillId="0" borderId="1" applyAlignment="1" pivotButton="0" quotePrefix="0" xfId="0">
      <alignment wrapText="1"/>
    </xf>
    <xf numFmtId="0" fontId="20" fillId="8" borderId="12" applyAlignment="1" pivotButton="0" quotePrefix="0" xfId="0">
      <alignment horizontal="left" vertical="center" wrapText="1"/>
    </xf>
    <xf numFmtId="0" fontId="19" fillId="8" borderId="12" applyAlignment="1" pivotButton="0" quotePrefix="0" xfId="0">
      <alignment horizontal="left" vertical="center" wrapText="1"/>
    </xf>
    <xf numFmtId="0" fontId="0" fillId="0" borderId="15" pivotButton="0" quotePrefix="0" xfId="0"/>
    <xf numFmtId="0" fontId="0" fillId="0" borderId="16" pivotButton="0" quotePrefix="0" xfId="0"/>
    <xf numFmtId="0" fontId="19" fillId="8" borderId="12" applyAlignment="1" pivotButton="0" quotePrefix="0" xfId="0">
      <alignment horizontal="center" vertical="center" wrapText="1"/>
    </xf>
    <xf numFmtId="0" fontId="19" fillId="0" borderId="12" applyAlignment="1" pivotButton="0" quotePrefix="0" xfId="0">
      <alignment horizontal="left" vertical="center" wrapText="1"/>
    </xf>
    <xf numFmtId="9" fontId="0" fillId="9" borderId="12" applyAlignment="1" pivotButton="0" quotePrefix="0" xfId="0">
      <alignment horizontal="center" vertical="center" wrapText="1"/>
    </xf>
    <xf numFmtId="0" fontId="0" fillId="0" borderId="12" applyAlignment="1" pivotButton="0" quotePrefix="0" xfId="0">
      <alignment horizontal="left" vertical="center" wrapText="1"/>
    </xf>
    <xf numFmtId="0" fontId="19" fillId="10" borderId="12" applyAlignment="1" pivotButton="0" quotePrefix="0" xfId="0">
      <alignment horizontal="left" vertical="center" wrapText="1"/>
    </xf>
    <xf numFmtId="9" fontId="19" fillId="10" borderId="12" applyAlignment="1" pivotButton="0" quotePrefix="0" xfId="0">
      <alignment horizontal="center" vertical="center" wrapText="1"/>
    </xf>
    <xf numFmtId="0" fontId="0" fillId="10" borderId="12" applyAlignment="1" pivotButton="0" quotePrefix="0" xfId="0">
      <alignment horizontal="left" vertical="center" wrapText="1"/>
    </xf>
    <xf numFmtId="168" fontId="19" fillId="10" borderId="12" applyAlignment="1" pivotButton="0" quotePrefix="0" xfId="0">
      <alignment horizontal="center" vertical="center" wrapText="1"/>
    </xf>
    <xf numFmtId="168" fontId="0" fillId="0" borderId="12" applyAlignment="1" pivotButton="0" quotePrefix="0" xfId="0">
      <alignment horizontal="center" vertical="center" wrapText="1"/>
    </xf>
    <xf numFmtId="168" fontId="19" fillId="0" borderId="12" applyAlignment="1" pivotButton="0" quotePrefix="0" xfId="0">
      <alignment horizontal="center" vertical="center" wrapText="1"/>
    </xf>
  </cellXfs>
  <cellStyles count="3">
    <cellStyle name="Normal" xfId="0" builtinId="0"/>
    <cellStyle name="Comma" xfId="1" builtinId="3"/>
    <cellStyle name="Percent" xfId="2"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H243"/>
  <sheetViews>
    <sheetView topLeftCell="J1" workbookViewId="0">
      <selection activeCell="K9" sqref="K9"/>
    </sheetView>
  </sheetViews>
  <sheetFormatPr baseColWidth="8" defaultRowHeight="14.4"/>
  <sheetData>
    <row r="1">
      <c r="A1" s="24" t="inlineStr">
        <is>
          <t>Keyword</t>
        </is>
      </c>
      <c r="B1" s="24" t="inlineStr">
        <is>
          <t>Avg. monthly searches</t>
        </is>
      </c>
      <c r="C1" s="24" t="inlineStr">
        <is>
          <t>Relevant</t>
        </is>
      </c>
      <c r="D1" s="24" t="inlineStr">
        <is>
          <t>Broader/Campaign</t>
        </is>
      </c>
      <c r="E1" s="24" t="inlineStr">
        <is>
          <t>Sub Theme/Adgroup</t>
        </is>
      </c>
      <c r="F1" s="24" t="inlineStr">
        <is>
          <t>Reason</t>
        </is>
      </c>
      <c r="G1" s="24" t="inlineStr">
        <is>
          <t>Category</t>
        </is>
      </c>
      <c r="H1" s="24" t="inlineStr">
        <is>
          <t>Intent</t>
        </is>
      </c>
    </row>
    <row r="2">
      <c r="A2" t="inlineStr">
        <is>
          <t>curry paste thai</t>
        </is>
      </c>
      <c r="B2" t="n">
        <v>3600</v>
      </c>
      <c r="C2" t="inlineStr">
        <is>
          <t>No</t>
        </is>
      </c>
      <c r="F2" t="inlineStr">
        <is>
          <t>Thai / foreign cuisine – wrong flavour for a Chettinad paste</t>
        </is>
      </c>
      <c r="G2" t="inlineStr">
        <is>
          <t>Generic</t>
        </is>
      </c>
      <c r="H2" t="inlineStr">
        <is>
          <t>High / Commercial</t>
        </is>
      </c>
    </row>
    <row r="3">
      <c r="A3" t="inlineStr">
        <is>
          <t>thai curry paste</t>
        </is>
      </c>
      <c r="B3" t="n">
        <v>3600</v>
      </c>
      <c r="C3" t="inlineStr">
        <is>
          <t>No</t>
        </is>
      </c>
      <c r="F3" t="inlineStr">
        <is>
          <t>Thai / foreign cuisine – wrong flavour for a Chettinad paste</t>
        </is>
      </c>
      <c r="G3" t="inlineStr">
        <is>
          <t>Generic</t>
        </is>
      </c>
      <c r="H3" t="inlineStr">
        <is>
          <t>High / Commercial</t>
        </is>
      </c>
    </row>
    <row r="4">
      <c r="A4" t="inlineStr">
        <is>
          <t>thai green curry paste</t>
        </is>
      </c>
      <c r="B4" t="n">
        <v>2900</v>
      </c>
      <c r="C4" t="inlineStr">
        <is>
          <t>No</t>
        </is>
      </c>
      <c r="F4" t="inlineStr">
        <is>
          <t>Thai / foreign cuisine – wrong flavour for a Chettinad paste</t>
        </is>
      </c>
      <c r="G4" t="inlineStr">
        <is>
          <t>Generic</t>
        </is>
      </c>
      <c r="H4" t="inlineStr">
        <is>
          <t>High / Commercial</t>
        </is>
      </c>
    </row>
    <row r="5">
      <c r="A5" t="inlineStr">
        <is>
          <t>thai red curry paste</t>
        </is>
      </c>
      <c r="B5" t="n">
        <v>2400</v>
      </c>
      <c r="C5" t="inlineStr">
        <is>
          <t>No</t>
        </is>
      </c>
      <c r="F5" t="inlineStr">
        <is>
          <t>Thai / foreign cuisine – wrong flavour for a Chettinad paste</t>
        </is>
      </c>
      <c r="G5" t="inlineStr">
        <is>
          <t>Generic</t>
        </is>
      </c>
      <c r="H5" t="inlineStr">
        <is>
          <t>High / Commercial</t>
        </is>
      </c>
    </row>
    <row r="6">
      <c r="A6" t="inlineStr">
        <is>
          <t>chicken curry masala</t>
        </is>
      </c>
      <c r="B6" t="n">
        <v>1300</v>
      </c>
      <c r="C6" t="inlineStr">
        <is>
          <t>Yes</t>
        </is>
      </c>
      <c r="D6" t="inlineStr">
        <is>
          <t>Generic</t>
        </is>
      </c>
      <c r="E6" t="inlineStr">
        <is>
          <t>Chicken Curry Masala</t>
        </is>
      </c>
      <c r="F6" t="inlineStr">
        <is>
          <t>Same cooking need (chicken curry)</t>
        </is>
      </c>
      <c r="G6" t="inlineStr">
        <is>
          <t>Generic</t>
        </is>
      </c>
      <c r="H6" t="inlineStr">
        <is>
          <t>High / Commercial</t>
        </is>
      </c>
    </row>
    <row r="7">
      <c r="A7" t="inlineStr">
        <is>
          <t>chettinad masala</t>
        </is>
      </c>
      <c r="B7" t="n">
        <v>1000</v>
      </c>
      <c r="C7" t="inlineStr">
        <is>
          <t>Yes</t>
        </is>
      </c>
      <c r="D7" t="inlineStr">
        <is>
          <t>Generic</t>
        </is>
      </c>
      <c r="E7" t="inlineStr">
        <is>
          <t>Chettinad</t>
        </is>
      </c>
      <c r="F7" t="inlineStr">
        <is>
          <t>Exact cuisine match</t>
        </is>
      </c>
      <c r="G7" t="inlineStr">
        <is>
          <t>Generic</t>
        </is>
      </c>
      <c r="H7" t="inlineStr">
        <is>
          <t>High / Commercial</t>
        </is>
      </c>
    </row>
    <row r="8">
      <c r="A8" t="inlineStr">
        <is>
          <t>chicken chettinad masala</t>
        </is>
      </c>
      <c r="B8" t="n">
        <v>720</v>
      </c>
      <c r="C8" t="inlineStr">
        <is>
          <t>Yes</t>
        </is>
      </c>
      <c r="D8" t="inlineStr">
        <is>
          <t>Generic</t>
        </is>
      </c>
      <c r="E8" t="inlineStr">
        <is>
          <t>Chettinad</t>
        </is>
      </c>
      <c r="F8" t="inlineStr">
        <is>
          <t>Exact cuisine match</t>
        </is>
      </c>
      <c r="G8" t="inlineStr">
        <is>
          <t>Generic</t>
        </is>
      </c>
      <c r="H8" t="inlineStr">
        <is>
          <t>High / Commercial</t>
        </is>
      </c>
    </row>
    <row r="9">
      <c r="A9" t="inlineStr">
        <is>
          <t>red curry paste</t>
        </is>
      </c>
      <c r="B9" t="n">
        <v>720</v>
      </c>
      <c r="C9" t="inlineStr">
        <is>
          <t>No</t>
        </is>
      </c>
      <c r="F9" t="inlineStr">
        <is>
          <t>Thai / foreign cuisine – wrong flavour for a Chettinad paste</t>
        </is>
      </c>
      <c r="G9" t="inlineStr">
        <is>
          <t>Generic</t>
        </is>
      </c>
      <c r="H9" t="inlineStr">
        <is>
          <t>High / Commercial</t>
        </is>
      </c>
    </row>
    <row r="10">
      <c r="A10" t="inlineStr">
        <is>
          <t>green curry paste</t>
        </is>
      </c>
      <c r="B10" t="n">
        <v>590</v>
      </c>
      <c r="C10" t="inlineStr">
        <is>
          <t>No</t>
        </is>
      </c>
      <c r="F10" t="inlineStr">
        <is>
          <t>Thai / foreign cuisine – wrong flavour for a Chettinad paste</t>
        </is>
      </c>
      <c r="G10" t="inlineStr">
        <is>
          <t>Generic</t>
        </is>
      </c>
      <c r="H10" t="inlineStr">
        <is>
          <t>High / Commercial</t>
        </is>
      </c>
    </row>
    <row r="11">
      <c r="A11" t="inlineStr">
        <is>
          <t>real thai red curry paste</t>
        </is>
      </c>
      <c r="B11" t="n">
        <v>590</v>
      </c>
      <c r="C11" t="inlineStr">
        <is>
          <t>No</t>
        </is>
      </c>
      <c r="F11" t="inlineStr">
        <is>
          <t>Thai / foreign cuisine – wrong flavour for a Chettinad paste</t>
        </is>
      </c>
      <c r="G11" t="inlineStr">
        <is>
          <t>Generic</t>
        </is>
      </c>
      <c r="H11" t="inlineStr">
        <is>
          <t>High / Commercial</t>
        </is>
      </c>
    </row>
    <row r="12">
      <c r="A12" t="inlineStr">
        <is>
          <t>mae ploy thai curry paste</t>
        </is>
      </c>
      <c r="B12" t="n">
        <v>480</v>
      </c>
      <c r="C12" t="inlineStr">
        <is>
          <t>No</t>
        </is>
      </c>
      <c r="F12" t="inlineStr">
        <is>
          <t>Thai / foreign cuisine – wrong flavour for a Chettinad paste</t>
        </is>
      </c>
      <c r="G12" t="inlineStr">
        <is>
          <t>Competitor</t>
        </is>
      </c>
      <c r="H12" t="inlineStr">
        <is>
          <t>High / Commercial</t>
        </is>
      </c>
    </row>
    <row r="13">
      <c r="A13" t="inlineStr">
        <is>
          <t>massaman curry paste</t>
        </is>
      </c>
      <c r="B13" t="n">
        <v>480</v>
      </c>
      <c r="C13" t="inlineStr">
        <is>
          <t>No</t>
        </is>
      </c>
      <c r="F13" t="inlineStr">
        <is>
          <t>Thai / foreign cuisine – wrong flavour for a Chettinad paste</t>
        </is>
      </c>
      <c r="G13" t="inlineStr">
        <is>
          <t>Generic</t>
        </is>
      </c>
      <c r="H13" t="inlineStr">
        <is>
          <t>High / Commercial</t>
        </is>
      </c>
    </row>
    <row r="14">
      <c r="A14" t="inlineStr">
        <is>
          <t>curry paste</t>
        </is>
      </c>
      <c r="B14" t="n">
        <v>390</v>
      </c>
      <c r="C14" t="inlineStr">
        <is>
          <t>Yes</t>
        </is>
      </c>
      <c r="D14" t="inlineStr">
        <is>
          <t>Generic</t>
        </is>
      </c>
      <c r="E14" t="inlineStr">
        <is>
          <t>Curry Paste / Ready to Cook</t>
        </is>
      </c>
      <c r="F14" t="inlineStr">
        <is>
          <t>Format match (paste / ready-to-cook)</t>
        </is>
      </c>
      <c r="G14" t="inlineStr">
        <is>
          <t>Generic</t>
        </is>
      </c>
      <c r="H14" t="inlineStr">
        <is>
          <t>High / Commercial</t>
        </is>
      </c>
    </row>
    <row r="15">
      <c r="A15" t="inlineStr">
        <is>
          <t>real thai green curry paste</t>
        </is>
      </c>
      <c r="B15" t="n">
        <v>390</v>
      </c>
      <c r="C15" t="inlineStr">
        <is>
          <t>No</t>
        </is>
      </c>
      <c r="F15" t="inlineStr">
        <is>
          <t>Thai / foreign cuisine – wrong flavour for a Chettinad paste</t>
        </is>
      </c>
      <c r="G15" t="inlineStr">
        <is>
          <t>Generic</t>
        </is>
      </c>
      <c r="H15" t="inlineStr">
        <is>
          <t>High / Commercial</t>
        </is>
      </c>
    </row>
    <row r="16">
      <c r="A16" t="inlineStr">
        <is>
          <t>thai yellow curry paste</t>
        </is>
      </c>
      <c r="B16" t="n">
        <v>320</v>
      </c>
      <c r="C16" t="inlineStr">
        <is>
          <t>No</t>
        </is>
      </c>
      <c r="F16" t="inlineStr">
        <is>
          <t>Thai / foreign cuisine – wrong flavour for a Chettinad paste</t>
        </is>
      </c>
      <c r="G16" t="inlineStr">
        <is>
          <t>Generic</t>
        </is>
      </c>
      <c r="H16" t="inlineStr">
        <is>
          <t>High / Commercial</t>
        </is>
      </c>
    </row>
    <row r="17">
      <c r="A17" t="inlineStr">
        <is>
          <t>yellow curry paste</t>
        </is>
      </c>
      <c r="B17" t="n">
        <v>260</v>
      </c>
      <c r="C17" t="inlineStr">
        <is>
          <t>No</t>
        </is>
      </c>
      <c r="F17" t="inlineStr">
        <is>
          <t>Thai / foreign cuisine – wrong flavour for a Chettinad paste</t>
        </is>
      </c>
      <c r="G17" t="inlineStr">
        <is>
          <t>Generic</t>
        </is>
      </c>
      <c r="H17" t="inlineStr">
        <is>
          <t>High / Commercial</t>
        </is>
      </c>
    </row>
    <row r="18">
      <c r="A18" t="inlineStr">
        <is>
          <t>chicken curry masala powder</t>
        </is>
      </c>
      <c r="B18" t="n">
        <v>170</v>
      </c>
      <c r="C18" t="inlineStr">
        <is>
          <t>Yes</t>
        </is>
      </c>
      <c r="D18" t="inlineStr">
        <is>
          <t>Generic</t>
        </is>
      </c>
      <c r="E18" t="inlineStr">
        <is>
          <t>Chicken Curry Masala</t>
        </is>
      </c>
      <c r="F18" t="inlineStr">
        <is>
          <t>Same cooking need (chicken curry)</t>
        </is>
      </c>
      <c r="G18" t="inlineStr">
        <is>
          <t>Generic</t>
        </is>
      </c>
      <c r="H18" t="inlineStr">
        <is>
          <t>High / Commercial</t>
        </is>
      </c>
    </row>
    <row r="19">
      <c r="A19" t="inlineStr">
        <is>
          <t>maesri thai curry paste</t>
        </is>
      </c>
      <c r="B19" t="n">
        <v>170</v>
      </c>
      <c r="C19" t="inlineStr">
        <is>
          <t>No</t>
        </is>
      </c>
      <c r="F19" t="inlineStr">
        <is>
          <t>Thai / foreign cuisine – wrong flavour for a Chettinad paste</t>
        </is>
      </c>
      <c r="G19" t="inlineStr">
        <is>
          <t>Generic</t>
        </is>
      </c>
      <c r="H19" t="inlineStr">
        <is>
          <t>High / Commercial</t>
        </is>
      </c>
    </row>
    <row r="20">
      <c r="A20" t="inlineStr">
        <is>
          <t>namjai green curry paste</t>
        </is>
      </c>
      <c r="B20" t="n">
        <v>170</v>
      </c>
      <c r="C20" t="inlineStr">
        <is>
          <t>No</t>
        </is>
      </c>
      <c r="F20" t="inlineStr">
        <is>
          <t>Thai / foreign cuisine – wrong flavour for a Chettinad paste</t>
        </is>
      </c>
      <c r="G20" t="inlineStr">
        <is>
          <t>Generic</t>
        </is>
      </c>
      <c r="H20" t="inlineStr">
        <is>
          <t>High / Commercial</t>
        </is>
      </c>
    </row>
    <row r="21">
      <c r="A21" t="inlineStr">
        <is>
          <t>real thai curry paste</t>
        </is>
      </c>
      <c r="B21" t="n">
        <v>170</v>
      </c>
      <c r="C21" t="inlineStr">
        <is>
          <t>No</t>
        </is>
      </c>
      <c r="F21" t="inlineStr">
        <is>
          <t>Thai / foreign cuisine – wrong flavour for a Chettinad paste</t>
        </is>
      </c>
      <c r="G21" t="inlineStr">
        <is>
          <t>Generic</t>
        </is>
      </c>
      <c r="H21" t="inlineStr">
        <is>
          <t>High / Commercial</t>
        </is>
      </c>
    </row>
    <row r="22">
      <c r="A22" t="inlineStr">
        <is>
          <t>thai kitchen red curry paste</t>
        </is>
      </c>
      <c r="B22" t="n">
        <v>170</v>
      </c>
      <c r="C22" t="inlineStr">
        <is>
          <t>No</t>
        </is>
      </c>
      <c r="F22" t="inlineStr">
        <is>
          <t>Thai / foreign cuisine – wrong flavour for a Chettinad paste</t>
        </is>
      </c>
      <c r="G22" t="inlineStr">
        <is>
          <t>Competitor</t>
        </is>
      </c>
      <c r="H22" t="inlineStr">
        <is>
          <t>High / Commercial</t>
        </is>
      </c>
    </row>
    <row r="23">
      <c r="A23" t="inlineStr">
        <is>
          <t>chettinad masala powder</t>
        </is>
      </c>
      <c r="B23" t="n">
        <v>140</v>
      </c>
      <c r="C23" t="inlineStr">
        <is>
          <t>Yes</t>
        </is>
      </c>
      <c r="D23" t="inlineStr">
        <is>
          <t>Generic</t>
        </is>
      </c>
      <c r="E23" t="inlineStr">
        <is>
          <t>Chettinad</t>
        </is>
      </c>
      <c r="F23" t="inlineStr">
        <is>
          <t>Exact cuisine match</t>
        </is>
      </c>
      <c r="G23" t="inlineStr">
        <is>
          <t>Generic</t>
        </is>
      </c>
      <c r="H23" t="inlineStr">
        <is>
          <t>High / Commercial</t>
        </is>
      </c>
    </row>
    <row r="24">
      <c r="A24" t="inlineStr">
        <is>
          <t>mdh chicken curry masala</t>
        </is>
      </c>
      <c r="B24" t="n">
        <v>140</v>
      </c>
      <c r="C24" t="inlineStr">
        <is>
          <t>Yes</t>
        </is>
      </c>
      <c r="D24" t="inlineStr">
        <is>
          <t>Competitor</t>
        </is>
      </c>
      <c r="E24" t="inlineStr">
        <is>
          <t>Chicken Curry Masala Brands</t>
        </is>
      </c>
      <c r="F24" t="inlineStr">
        <is>
          <t>Competitor brand, chicken curry masala</t>
        </is>
      </c>
      <c r="G24" t="inlineStr">
        <is>
          <t>Competitor</t>
        </is>
      </c>
      <c r="H24" t="inlineStr">
        <is>
          <t>High / Commercial</t>
        </is>
      </c>
    </row>
    <row r="25">
      <c r="A25" t="inlineStr">
        <is>
          <t>sunrise chicken curry masala</t>
        </is>
      </c>
      <c r="B25" t="n">
        <v>140</v>
      </c>
      <c r="C25" t="inlineStr">
        <is>
          <t>Yes</t>
        </is>
      </c>
      <c r="D25" t="inlineStr">
        <is>
          <t>Competitor</t>
        </is>
      </c>
      <c r="E25" t="inlineStr">
        <is>
          <t>Chicken Curry Masala Brands</t>
        </is>
      </c>
      <c r="F25" t="inlineStr">
        <is>
          <t>Competitor brand, chicken curry masala</t>
        </is>
      </c>
      <c r="G25" t="inlineStr">
        <is>
          <t>Generic</t>
        </is>
      </c>
      <c r="H25" t="inlineStr">
        <is>
          <t>High / Commercial</t>
        </is>
      </c>
    </row>
    <row r="26">
      <c r="A26" t="inlineStr">
        <is>
          <t>chettinad chicken masala powder</t>
        </is>
      </c>
      <c r="B26" t="n">
        <v>110</v>
      </c>
      <c r="C26" t="inlineStr">
        <is>
          <t>Yes</t>
        </is>
      </c>
      <c r="D26" t="inlineStr">
        <is>
          <t>Generic</t>
        </is>
      </c>
      <c r="E26" t="inlineStr">
        <is>
          <t>Chettinad</t>
        </is>
      </c>
      <c r="F26" t="inlineStr">
        <is>
          <t>Exact cuisine match</t>
        </is>
      </c>
      <c r="G26" t="inlineStr">
        <is>
          <t>Generic</t>
        </is>
      </c>
      <c r="H26" t="inlineStr">
        <is>
          <t>High / Commercial</t>
        </is>
      </c>
    </row>
    <row r="27">
      <c r="A27" t="inlineStr">
        <is>
          <t>cookd chettinad masala</t>
        </is>
      </c>
      <c r="B27" t="n">
        <v>110</v>
      </c>
      <c r="C27" t="inlineStr">
        <is>
          <t>Yes</t>
        </is>
      </c>
      <c r="D27" t="inlineStr">
        <is>
          <t>Competitor</t>
        </is>
      </c>
      <c r="E27" t="inlineStr">
        <is>
          <t>Chettinad Competitors</t>
        </is>
      </c>
      <c r="F27" t="inlineStr">
        <is>
          <t>Competitor brand + Chettinad</t>
        </is>
      </c>
      <c r="G27" t="inlineStr">
        <is>
          <t>Generic</t>
        </is>
      </c>
      <c r="H27" t="inlineStr">
        <is>
          <t>High / Commercial</t>
        </is>
      </c>
    </row>
    <row r="28">
      <c r="A28" t="inlineStr">
        <is>
          <t>curry leaves paste</t>
        </is>
      </c>
      <c r="B28" t="n">
        <v>110</v>
      </c>
      <c r="C28" t="inlineStr">
        <is>
          <t>No</t>
        </is>
      </c>
      <c r="F28" t="inlineStr">
        <is>
          <t>Single-ingredient paste, not a curry</t>
        </is>
      </c>
      <c r="G28" t="inlineStr">
        <is>
          <t>Generic</t>
        </is>
      </c>
      <c r="H28" t="inlineStr">
        <is>
          <t>High / Commercial</t>
        </is>
      </c>
    </row>
    <row r="29">
      <c r="A29" t="inlineStr">
        <is>
          <t>blue elephant curry paste</t>
        </is>
      </c>
      <c r="B29" t="n">
        <v>90</v>
      </c>
      <c r="C29" t="inlineStr">
        <is>
          <t>No</t>
        </is>
      </c>
      <c r="F29" t="inlineStr">
        <is>
          <t>Thai / foreign cuisine – wrong flavour for a Chettinad paste</t>
        </is>
      </c>
      <c r="G29" t="inlineStr">
        <is>
          <t>Competitor</t>
        </is>
      </c>
      <c r="H29" t="inlineStr">
        <is>
          <t>High / Commercial</t>
        </is>
      </c>
    </row>
    <row r="30">
      <c r="A30" t="inlineStr">
        <is>
          <t>blue elephant thai curry paste</t>
        </is>
      </c>
      <c r="B30" t="n">
        <v>90</v>
      </c>
      <c r="C30" t="inlineStr">
        <is>
          <t>No</t>
        </is>
      </c>
      <c r="F30" t="inlineStr">
        <is>
          <t>Thai / foreign cuisine – wrong flavour for a Chettinad paste</t>
        </is>
      </c>
      <c r="G30" t="inlineStr">
        <is>
          <t>Competitor</t>
        </is>
      </c>
      <c r="H30" t="inlineStr">
        <is>
          <t>High / Commercial</t>
        </is>
      </c>
    </row>
    <row r="31">
      <c r="A31" t="inlineStr">
        <is>
          <t>chettinad biryani masala</t>
        </is>
      </c>
      <c r="B31" t="n">
        <v>90</v>
      </c>
      <c r="C31" t="inlineStr">
        <is>
          <t>No</t>
        </is>
      </c>
      <c r="F31" t="inlineStr">
        <is>
          <t>Biryani – different dish</t>
        </is>
      </c>
      <c r="G31" t="inlineStr">
        <is>
          <t>Generic</t>
        </is>
      </c>
      <c r="H31" t="inlineStr">
        <is>
          <t>High / Commercial</t>
        </is>
      </c>
    </row>
    <row r="32">
      <c r="A32" t="inlineStr">
        <is>
          <t>curry it ginger garlic paste</t>
        </is>
      </c>
      <c r="B32" t="n">
        <v>90</v>
      </c>
      <c r="C32" t="inlineStr">
        <is>
          <t>No</t>
        </is>
      </c>
      <c r="F32" t="inlineStr">
        <is>
          <t>Own brand, other product – route to that product's campaign</t>
        </is>
      </c>
      <c r="G32" t="inlineStr">
        <is>
          <t>Brand</t>
        </is>
      </c>
      <c r="H32" t="inlineStr">
        <is>
          <t>High / Commercial</t>
        </is>
      </c>
    </row>
    <row r="33">
      <c r="A33" t="inlineStr">
        <is>
          <t>curry paste indian</t>
        </is>
      </c>
      <c r="B33" t="n">
        <v>90</v>
      </c>
      <c r="C33" t="inlineStr">
        <is>
          <t>Yes</t>
        </is>
      </c>
      <c r="D33" t="inlineStr">
        <is>
          <t>Generic</t>
        </is>
      </c>
      <c r="E33" t="inlineStr">
        <is>
          <t>Curry Paste / Ready to Cook</t>
        </is>
      </c>
      <c r="F33" t="inlineStr">
        <is>
          <t>Format match (paste / ready-to-cook)</t>
        </is>
      </c>
      <c r="G33" t="inlineStr">
        <is>
          <t>Generic</t>
        </is>
      </c>
      <c r="H33" t="inlineStr">
        <is>
          <t>High / Commercial</t>
        </is>
      </c>
    </row>
    <row r="34">
      <c r="A34" t="inlineStr">
        <is>
          <t>namjai red curry paste</t>
        </is>
      </c>
      <c r="B34" t="n">
        <v>90</v>
      </c>
      <c r="C34" t="inlineStr">
        <is>
          <t>No</t>
        </is>
      </c>
      <c r="F34" t="inlineStr">
        <is>
          <t>Thai / foreign cuisine – wrong flavour for a Chettinad paste</t>
        </is>
      </c>
      <c r="G34" t="inlineStr">
        <is>
          <t>Generic</t>
        </is>
      </c>
      <c r="H34" t="inlineStr">
        <is>
          <t>High / Commercial</t>
        </is>
      </c>
    </row>
    <row r="35">
      <c r="A35" t="inlineStr">
        <is>
          <t>real thai yellow curry paste</t>
        </is>
      </c>
      <c r="B35" t="n">
        <v>90</v>
      </c>
      <c r="C35" t="inlineStr">
        <is>
          <t>No</t>
        </is>
      </c>
      <c r="F35" t="inlineStr">
        <is>
          <t>Thai / foreign cuisine – wrong flavour for a Chettinad paste</t>
        </is>
      </c>
      <c r="G35" t="inlineStr">
        <is>
          <t>Generic</t>
        </is>
      </c>
      <c r="H35" t="inlineStr">
        <is>
          <t>High / Commercial</t>
        </is>
      </c>
    </row>
    <row r="36">
      <c r="A36" t="inlineStr">
        <is>
          <t>suhana chicken curry masala</t>
        </is>
      </c>
      <c r="B36" t="n">
        <v>90</v>
      </c>
      <c r="C36" t="inlineStr">
        <is>
          <t>Yes</t>
        </is>
      </c>
      <c r="D36" t="inlineStr">
        <is>
          <t>Competitor</t>
        </is>
      </c>
      <c r="E36" t="inlineStr">
        <is>
          <t>Chicken Curry Masala Brands</t>
        </is>
      </c>
      <c r="F36" t="inlineStr">
        <is>
          <t>Competitor brand, chicken curry masala</t>
        </is>
      </c>
      <c r="G36" t="inlineStr">
        <is>
          <t>Competitor</t>
        </is>
      </c>
      <c r="H36" t="inlineStr">
        <is>
          <t>High / Commercial</t>
        </is>
      </c>
    </row>
    <row r="37">
      <c r="A37" t="inlineStr">
        <is>
          <t>jain thai curry paste</t>
        </is>
      </c>
      <c r="B37" t="n">
        <v>70</v>
      </c>
      <c r="C37" t="inlineStr">
        <is>
          <t>No</t>
        </is>
      </c>
      <c r="F37" t="inlineStr">
        <is>
          <t>Jain / no onion-garlic; CURRYiT contains onion &amp; garlic</t>
        </is>
      </c>
      <c r="G37" t="inlineStr">
        <is>
          <t>Generic</t>
        </is>
      </c>
      <c r="H37" t="inlineStr">
        <is>
          <t>High / Commercial</t>
        </is>
      </c>
    </row>
    <row r="38">
      <c r="A38" t="inlineStr">
        <is>
          <t>katsu curry paste</t>
        </is>
      </c>
      <c r="B38" t="n">
        <v>70</v>
      </c>
      <c r="C38" t="inlineStr">
        <is>
          <t>No</t>
        </is>
      </c>
      <c r="F38" t="inlineStr">
        <is>
          <t>Thai / foreign cuisine – wrong flavour for a Chettinad paste</t>
        </is>
      </c>
      <c r="G38" t="inlineStr">
        <is>
          <t>Generic</t>
        </is>
      </c>
      <c r="H38" t="inlineStr">
        <is>
          <t>High / Commercial</t>
        </is>
      </c>
    </row>
    <row r="39">
      <c r="A39" t="inlineStr">
        <is>
          <t>knorr thai curry paste</t>
        </is>
      </c>
      <c r="B39" t="n">
        <v>70</v>
      </c>
      <c r="C39" t="inlineStr">
        <is>
          <t>No</t>
        </is>
      </c>
      <c r="F39" t="inlineStr">
        <is>
          <t>Thai / foreign cuisine – wrong flavour for a Chettinad paste</t>
        </is>
      </c>
      <c r="G39" t="inlineStr">
        <is>
          <t>Competitor</t>
        </is>
      </c>
      <c r="H39" t="inlineStr">
        <is>
          <t>High / Commercial</t>
        </is>
      </c>
    </row>
    <row r="40">
      <c r="A40" t="inlineStr">
        <is>
          <t>namjai curry paste</t>
        </is>
      </c>
      <c r="B40" t="n">
        <v>70</v>
      </c>
      <c r="C40" t="inlineStr">
        <is>
          <t>No</t>
        </is>
      </c>
      <c r="F40" t="inlineStr">
        <is>
          <t>Thai / foreign cuisine – wrong flavour for a Chettinad paste</t>
        </is>
      </c>
      <c r="G40" t="inlineStr">
        <is>
          <t>Generic</t>
        </is>
      </c>
      <c r="H40" t="inlineStr">
        <is>
          <t>High / Commercial</t>
        </is>
      </c>
    </row>
    <row r="41">
      <c r="A41" t="inlineStr">
        <is>
          <t>namjai thai curry paste</t>
        </is>
      </c>
      <c r="B41" t="n">
        <v>70</v>
      </c>
      <c r="C41" t="inlineStr">
        <is>
          <t>No</t>
        </is>
      </c>
      <c r="F41" t="inlineStr">
        <is>
          <t>Thai / foreign cuisine – wrong flavour for a Chettinad paste</t>
        </is>
      </c>
      <c r="G41" t="inlineStr">
        <is>
          <t>Generic</t>
        </is>
      </c>
      <c r="H41" t="inlineStr">
        <is>
          <t>High / Commercial</t>
        </is>
      </c>
    </row>
    <row r="42">
      <c r="A42" t="inlineStr">
        <is>
          <t>non veg curry masala paste</t>
        </is>
      </c>
      <c r="B42" t="n">
        <v>70</v>
      </c>
      <c r="C42" t="inlineStr">
        <is>
          <t>Yes</t>
        </is>
      </c>
      <c r="D42" t="inlineStr">
        <is>
          <t>Generic</t>
        </is>
      </c>
      <c r="E42" t="inlineStr">
        <is>
          <t>Curry Paste / Ready to Cook</t>
        </is>
      </c>
      <c r="F42" t="inlineStr">
        <is>
          <t>Format match (paste / ready-to-cook)</t>
        </is>
      </c>
      <c r="G42" t="inlineStr">
        <is>
          <t>Generic</t>
        </is>
      </c>
      <c r="H42" t="inlineStr">
        <is>
          <t>High / Commercial</t>
        </is>
      </c>
    </row>
    <row r="43">
      <c r="A43" t="inlineStr">
        <is>
          <t>sakthi chettinad chicken masala</t>
        </is>
      </c>
      <c r="B43" t="n">
        <v>70</v>
      </c>
      <c r="C43" t="inlineStr">
        <is>
          <t>Yes</t>
        </is>
      </c>
      <c r="D43" t="inlineStr">
        <is>
          <t>Competitor</t>
        </is>
      </c>
      <c r="E43" t="inlineStr">
        <is>
          <t>Chettinad Competitors</t>
        </is>
      </c>
      <c r="F43" t="inlineStr">
        <is>
          <t>Competitor brand + Chettinad</t>
        </is>
      </c>
      <c r="G43" t="inlineStr">
        <is>
          <t>Generic</t>
        </is>
      </c>
      <c r="H43" t="inlineStr">
        <is>
          <t>High / Commercial</t>
        </is>
      </c>
    </row>
    <row r="44">
      <c r="A44" t="inlineStr">
        <is>
          <t>everest chicken curry masala</t>
        </is>
      </c>
      <c r="B44" t="n">
        <v>50</v>
      </c>
      <c r="C44" t="inlineStr">
        <is>
          <t>Yes</t>
        </is>
      </c>
      <c r="D44" t="inlineStr">
        <is>
          <t>Competitor</t>
        </is>
      </c>
      <c r="E44" t="inlineStr">
        <is>
          <t>Chicken Curry Masala Brands</t>
        </is>
      </c>
      <c r="F44" t="inlineStr">
        <is>
          <t>Competitor brand, chicken curry masala</t>
        </is>
      </c>
      <c r="G44" t="inlineStr">
        <is>
          <t>Competitor</t>
        </is>
      </c>
      <c r="H44" t="inlineStr">
        <is>
          <t>High / Commercial</t>
        </is>
      </c>
    </row>
    <row r="45">
      <c r="A45" t="inlineStr">
        <is>
          <t>laksa curry paste</t>
        </is>
      </c>
      <c r="B45" t="n">
        <v>50</v>
      </c>
      <c r="C45" t="inlineStr">
        <is>
          <t>No</t>
        </is>
      </c>
      <c r="F45" t="inlineStr">
        <is>
          <t>Thai / foreign cuisine – wrong flavour for a Chettinad paste</t>
        </is>
      </c>
      <c r="G45" t="inlineStr">
        <is>
          <t>Generic</t>
        </is>
      </c>
      <c r="H45" t="inlineStr">
        <is>
          <t>High / Commercial</t>
        </is>
      </c>
    </row>
    <row r="46">
      <c r="A46" t="inlineStr">
        <is>
          <t>rendang curry paste</t>
        </is>
      </c>
      <c r="B46" t="n">
        <v>50</v>
      </c>
      <c r="C46" t="inlineStr">
        <is>
          <t>No</t>
        </is>
      </c>
      <c r="F46" t="inlineStr">
        <is>
          <t>Thai / foreign cuisine – wrong flavour for a Chettinad paste</t>
        </is>
      </c>
      <c r="G46" t="inlineStr">
        <is>
          <t>Generic</t>
        </is>
      </c>
      <c r="H46" t="inlineStr">
        <is>
          <t>High / Commercial</t>
        </is>
      </c>
    </row>
    <row r="47">
      <c r="A47" t="inlineStr">
        <is>
          <t>thai green curry paste vegetarian</t>
        </is>
      </c>
      <c r="B47" t="n">
        <v>50</v>
      </c>
      <c r="C47" t="inlineStr">
        <is>
          <t>No</t>
        </is>
      </c>
      <c r="F47" t="inlineStr">
        <is>
          <t>Thai / foreign cuisine – wrong flavour for a Chettinad paste</t>
        </is>
      </c>
      <c r="G47" t="inlineStr">
        <is>
          <t>Generic</t>
        </is>
      </c>
      <c r="H47" t="inlineStr">
        <is>
          <t>High / Commercial</t>
        </is>
      </c>
    </row>
    <row r="48">
      <c r="A48" t="inlineStr">
        <is>
          <t>thai kitchen green curry paste</t>
        </is>
      </c>
      <c r="B48" t="n">
        <v>50</v>
      </c>
      <c r="C48" t="inlineStr">
        <is>
          <t>No</t>
        </is>
      </c>
      <c r="F48" t="inlineStr">
        <is>
          <t>Thai / foreign cuisine – wrong flavour for a Chettinad paste</t>
        </is>
      </c>
      <c r="G48" t="inlineStr">
        <is>
          <t>Competitor</t>
        </is>
      </c>
      <c r="H48" t="inlineStr">
        <is>
          <t>High / Commercial</t>
        </is>
      </c>
    </row>
    <row r="49">
      <c r="A49" t="inlineStr">
        <is>
          <t>zoff chicken curry masala</t>
        </is>
      </c>
      <c r="B49" t="n">
        <v>50</v>
      </c>
      <c r="C49" t="inlineStr">
        <is>
          <t>Yes</t>
        </is>
      </c>
      <c r="D49" t="inlineStr">
        <is>
          <t>Competitor</t>
        </is>
      </c>
      <c r="E49" t="inlineStr">
        <is>
          <t>Chicken Curry Masala Brands</t>
        </is>
      </c>
      <c r="F49" t="inlineStr">
        <is>
          <t>Competitor brand, chicken curry masala</t>
        </is>
      </c>
      <c r="G49" t="inlineStr">
        <is>
          <t>Generic</t>
        </is>
      </c>
      <c r="H49" t="inlineStr">
        <is>
          <t>High / Commercial</t>
        </is>
      </c>
    </row>
    <row r="50">
      <c r="A50" t="inlineStr">
        <is>
          <t>fish curry paste</t>
        </is>
      </c>
      <c r="B50" t="n">
        <v>40</v>
      </c>
      <c r="C50" t="inlineStr">
        <is>
          <t>No</t>
        </is>
      </c>
      <c r="F50" t="inlineStr">
        <is>
          <t>Other dish / other CURRYiT product – route elsewhere</t>
        </is>
      </c>
      <c r="G50" t="inlineStr">
        <is>
          <t>Generic</t>
        </is>
      </c>
      <c r="H50" t="inlineStr">
        <is>
          <t>High / Commercial</t>
        </is>
      </c>
    </row>
    <row r="51">
      <c r="A51" t="inlineStr">
        <is>
          <t>japanese curry paste</t>
        </is>
      </c>
      <c r="B51" t="n">
        <v>40</v>
      </c>
      <c r="C51" t="inlineStr">
        <is>
          <t>No</t>
        </is>
      </c>
      <c r="F51" t="inlineStr">
        <is>
          <t>Thai / foreign cuisine – wrong flavour for a Chettinad paste</t>
        </is>
      </c>
      <c r="G51" t="inlineStr">
        <is>
          <t>Generic</t>
        </is>
      </c>
      <c r="H51" t="inlineStr">
        <is>
          <t>High / Commercial</t>
        </is>
      </c>
    </row>
    <row r="52">
      <c r="A52" t="inlineStr">
        <is>
          <t>knorr green thai curry paste</t>
        </is>
      </c>
      <c r="B52" t="n">
        <v>40</v>
      </c>
      <c r="C52" t="inlineStr">
        <is>
          <t>No</t>
        </is>
      </c>
      <c r="F52" t="inlineStr">
        <is>
          <t>Thai / foreign cuisine – wrong flavour for a Chettinad paste</t>
        </is>
      </c>
      <c r="G52" t="inlineStr">
        <is>
          <t>Competitor</t>
        </is>
      </c>
      <c r="H52" t="inlineStr">
        <is>
          <t>High / Commercial</t>
        </is>
      </c>
    </row>
    <row r="53">
      <c r="A53" t="inlineStr">
        <is>
          <t>malaysian curry paste</t>
        </is>
      </c>
      <c r="B53" t="n">
        <v>40</v>
      </c>
      <c r="C53" t="inlineStr">
        <is>
          <t>No</t>
        </is>
      </c>
      <c r="F53" t="inlineStr">
        <is>
          <t>Thai / foreign cuisine – wrong flavour for a Chettinad paste</t>
        </is>
      </c>
      <c r="G53" t="inlineStr">
        <is>
          <t>Generic</t>
        </is>
      </c>
      <c r="H53" t="inlineStr">
        <is>
          <t>High / Commercial</t>
        </is>
      </c>
    </row>
    <row r="54">
      <c r="A54" t="inlineStr">
        <is>
          <t>ready to cook curry</t>
        </is>
      </c>
      <c r="B54" t="n">
        <v>40</v>
      </c>
      <c r="C54" t="inlineStr">
        <is>
          <t>Yes</t>
        </is>
      </c>
      <c r="D54" t="inlineStr">
        <is>
          <t>Generic</t>
        </is>
      </c>
      <c r="E54" t="inlineStr">
        <is>
          <t>Curry Paste / Ready to Cook</t>
        </is>
      </c>
      <c r="F54" t="inlineStr">
        <is>
          <t>Format match (paste / ready-to-cook)</t>
        </is>
      </c>
      <c r="G54" t="inlineStr">
        <is>
          <t>Generic</t>
        </is>
      </c>
      <c r="H54" t="inlineStr">
        <is>
          <t>High / Commercial</t>
        </is>
      </c>
    </row>
    <row r="55">
      <c r="A55" t="inlineStr">
        <is>
          <t>thai curry paste vegetarian</t>
        </is>
      </c>
      <c r="B55" t="n">
        <v>40</v>
      </c>
      <c r="C55" t="inlineStr">
        <is>
          <t>No</t>
        </is>
      </c>
      <c r="F55" t="inlineStr">
        <is>
          <t>Thai / foreign cuisine – wrong flavour for a Chettinad paste</t>
        </is>
      </c>
      <c r="G55" t="inlineStr">
        <is>
          <t>Generic</t>
        </is>
      </c>
      <c r="H55" t="inlineStr">
        <is>
          <t>High / Commercial</t>
        </is>
      </c>
    </row>
    <row r="56">
      <c r="A56" t="inlineStr">
        <is>
          <t>aachi chicken curry masala</t>
        </is>
      </c>
      <c r="B56" t="n">
        <v>30</v>
      </c>
      <c r="C56" t="inlineStr">
        <is>
          <t>Yes</t>
        </is>
      </c>
      <c r="D56" t="inlineStr">
        <is>
          <t>Competitor</t>
        </is>
      </c>
      <c r="E56" t="inlineStr">
        <is>
          <t>Chicken Curry Masala Brands</t>
        </is>
      </c>
      <c r="F56" t="inlineStr">
        <is>
          <t>Competitor brand, chicken curry masala</t>
        </is>
      </c>
      <c r="G56" t="inlineStr">
        <is>
          <t>Competitor</t>
        </is>
      </c>
      <c r="H56" t="inlineStr">
        <is>
          <t>High / Commercial</t>
        </is>
      </c>
    </row>
    <row r="57">
      <c r="A57" t="inlineStr">
        <is>
          <t>aachi curry leaf rice paste</t>
        </is>
      </c>
      <c r="B57" t="n">
        <v>30</v>
      </c>
      <c r="C57" t="inlineStr">
        <is>
          <t>No</t>
        </is>
      </c>
      <c r="F57" t="inlineStr">
        <is>
          <t>Pack size / diet / unrelated product</t>
        </is>
      </c>
      <c r="G57" t="inlineStr">
        <is>
          <t>Competitor</t>
        </is>
      </c>
      <c r="H57" t="inlineStr">
        <is>
          <t>High / Commercial</t>
        </is>
      </c>
    </row>
    <row r="58">
      <c r="A58" t="inlineStr">
        <is>
          <t>best thai curry paste</t>
        </is>
      </c>
      <c r="B58" t="n">
        <v>30</v>
      </c>
      <c r="C58" t="inlineStr">
        <is>
          <t>No</t>
        </is>
      </c>
      <c r="F58" t="inlineStr">
        <is>
          <t>Thai / foreign cuisine – wrong flavour for a Chettinad paste</t>
        </is>
      </c>
      <c r="G58" t="inlineStr">
        <is>
          <t>Generic</t>
        </is>
      </c>
      <c r="H58" t="inlineStr">
        <is>
          <t>High / Commercial</t>
        </is>
      </c>
    </row>
    <row r="59">
      <c r="A59" t="inlineStr">
        <is>
          <t>blue elephant green curry paste</t>
        </is>
      </c>
      <c r="B59" t="n">
        <v>30</v>
      </c>
      <c r="C59" t="inlineStr">
        <is>
          <t>No</t>
        </is>
      </c>
      <c r="F59" t="inlineStr">
        <is>
          <t>Thai / foreign cuisine – wrong flavour for a Chettinad paste</t>
        </is>
      </c>
      <c r="G59" t="inlineStr">
        <is>
          <t>Competitor</t>
        </is>
      </c>
      <c r="H59" t="inlineStr">
        <is>
          <t>High / Commercial</t>
        </is>
      </c>
    </row>
    <row r="60">
      <c r="A60" t="inlineStr">
        <is>
          <t>blue elephant thai green curry paste</t>
        </is>
      </c>
      <c r="B60" t="n">
        <v>30</v>
      </c>
      <c r="C60" t="inlineStr">
        <is>
          <t>No</t>
        </is>
      </c>
      <c r="F60" t="inlineStr">
        <is>
          <t>Thai / foreign cuisine – wrong flavour for a Chettinad paste</t>
        </is>
      </c>
      <c r="G60" t="inlineStr">
        <is>
          <t>Competitor</t>
        </is>
      </c>
      <c r="H60" t="inlineStr">
        <is>
          <t>High / Commercial</t>
        </is>
      </c>
    </row>
    <row r="61">
      <c r="A61" t="inlineStr">
        <is>
          <t>coconut paste for cooking</t>
        </is>
      </c>
      <c r="B61" t="n">
        <v>30</v>
      </c>
      <c r="C61" t="inlineStr">
        <is>
          <t>No</t>
        </is>
      </c>
      <c r="F61" t="inlineStr">
        <is>
          <t>Single-ingredient paste, not a curry</t>
        </is>
      </c>
      <c r="G61" t="inlineStr">
        <is>
          <t>Generic</t>
        </is>
      </c>
      <c r="H61" t="inlineStr">
        <is>
          <t>High / Commercial</t>
        </is>
      </c>
    </row>
    <row r="62">
      <c r="A62" t="inlineStr">
        <is>
          <t>itc master chef butter chicken cooking paste</t>
        </is>
      </c>
      <c r="B62" t="n">
        <v>30</v>
      </c>
      <c r="C62" t="inlineStr">
        <is>
          <t>No</t>
        </is>
      </c>
      <c r="F62" t="inlineStr">
        <is>
          <t>Other dish / other CURRYiT product – route elsewhere</t>
        </is>
      </c>
      <c r="G62" t="inlineStr">
        <is>
          <t>Competitor</t>
        </is>
      </c>
      <c r="H62" t="inlineStr">
        <is>
          <t>High / Commercial</t>
        </is>
      </c>
    </row>
    <row r="63">
      <c r="A63" t="inlineStr">
        <is>
          <t>mutton curry paste</t>
        </is>
      </c>
      <c r="B63" t="n">
        <v>30</v>
      </c>
      <c r="C63" t="inlineStr">
        <is>
          <t>Yes</t>
        </is>
      </c>
      <c r="D63" t="inlineStr">
        <is>
          <t>Generic</t>
        </is>
      </c>
      <c r="E63" t="inlineStr">
        <is>
          <t>Curry Paste / Ready to Cook</t>
        </is>
      </c>
      <c r="F63" t="inlineStr">
        <is>
          <t>Format match (paste / ready-to-cook)</t>
        </is>
      </c>
      <c r="G63" t="inlineStr">
        <is>
          <t>Generic</t>
        </is>
      </c>
      <c r="H63" t="inlineStr">
        <is>
          <t>High / Commercial</t>
        </is>
      </c>
    </row>
    <row r="64">
      <c r="A64" t="inlineStr">
        <is>
          <t>ready to cook chicken curry</t>
        </is>
      </c>
      <c r="B64" t="n">
        <v>30</v>
      </c>
      <c r="C64" t="inlineStr">
        <is>
          <t>Yes</t>
        </is>
      </c>
      <c r="D64" t="inlineStr">
        <is>
          <t>Generic</t>
        </is>
      </c>
      <c r="E64" t="inlineStr">
        <is>
          <t>Curry Paste / Ready to Cook</t>
        </is>
      </c>
      <c r="F64" t="inlineStr">
        <is>
          <t>Format match (paste / ready-to-cook)</t>
        </is>
      </c>
      <c r="G64" t="inlineStr">
        <is>
          <t>Generic</t>
        </is>
      </c>
      <c r="H64" t="inlineStr">
        <is>
          <t>High / Commercial</t>
        </is>
      </c>
    </row>
    <row r="65">
      <c r="A65" t="inlineStr">
        <is>
          <t>thai red curry paste vegan</t>
        </is>
      </c>
      <c r="B65" t="n">
        <v>30</v>
      </c>
      <c r="C65" t="inlineStr">
        <is>
          <t>No</t>
        </is>
      </c>
      <c r="F65" t="inlineStr">
        <is>
          <t>Thai / foreign cuisine – wrong flavour for a Chettinad paste</t>
        </is>
      </c>
      <c r="G65" t="inlineStr">
        <is>
          <t>Generic</t>
        </is>
      </c>
      <c r="H65" t="inlineStr">
        <is>
          <t>High / Commercial</t>
        </is>
      </c>
    </row>
    <row r="66">
      <c r="A66" t="inlineStr">
        <is>
          <t>thai red curry paste vegetarian</t>
        </is>
      </c>
      <c r="B66" t="n">
        <v>30</v>
      </c>
      <c r="C66" t="inlineStr">
        <is>
          <t>No</t>
        </is>
      </c>
      <c r="F66" t="inlineStr">
        <is>
          <t>Thai / foreign cuisine – wrong flavour for a Chettinad paste</t>
        </is>
      </c>
      <c r="G66" t="inlineStr">
        <is>
          <t>Generic</t>
        </is>
      </c>
      <c r="H66" t="inlineStr">
        <is>
          <t>High / Commercial</t>
        </is>
      </c>
    </row>
    <row r="67">
      <c r="A67" t="inlineStr">
        <is>
          <t>aachi chettinad chicken biryani masala</t>
        </is>
      </c>
      <c r="B67" t="n">
        <v>20</v>
      </c>
      <c r="C67" t="inlineStr">
        <is>
          <t>No</t>
        </is>
      </c>
      <c r="F67" t="inlineStr">
        <is>
          <t>Biryani – different dish</t>
        </is>
      </c>
      <c r="G67" t="inlineStr">
        <is>
          <t>Competitor</t>
        </is>
      </c>
      <c r="H67" t="inlineStr">
        <is>
          <t>High / Commercial</t>
        </is>
      </c>
    </row>
    <row r="68">
      <c r="A68" t="inlineStr">
        <is>
          <t>chettinad chicken biryani masala</t>
        </is>
      </c>
      <c r="B68" t="n">
        <v>20</v>
      </c>
      <c r="C68" t="inlineStr">
        <is>
          <t>No</t>
        </is>
      </c>
      <c r="F68" t="inlineStr">
        <is>
          <t>Biryani – different dish</t>
        </is>
      </c>
      <c r="G68" t="inlineStr">
        <is>
          <t>Generic</t>
        </is>
      </c>
      <c r="H68" t="inlineStr">
        <is>
          <t>High / Commercial</t>
        </is>
      </c>
    </row>
    <row r="69">
      <c r="A69" t="inlineStr">
        <is>
          <t>cooking pastes</t>
        </is>
      </c>
      <c r="B69" t="n">
        <v>20</v>
      </c>
      <c r="C69" t="inlineStr">
        <is>
          <t>Yes</t>
        </is>
      </c>
      <c r="D69" t="inlineStr">
        <is>
          <t>Generic</t>
        </is>
      </c>
      <c r="E69" t="inlineStr">
        <is>
          <t>Curry Paste / Ready to Cook</t>
        </is>
      </c>
      <c r="F69" t="inlineStr">
        <is>
          <t>Format match (paste / ready-to-cook)</t>
        </is>
      </c>
      <c r="G69" t="inlineStr">
        <is>
          <t>Generic</t>
        </is>
      </c>
      <c r="H69" t="inlineStr">
        <is>
          <t>High / Commercial</t>
        </is>
      </c>
    </row>
    <row r="70">
      <c r="A70" t="inlineStr">
        <is>
          <t>egg curry paste</t>
        </is>
      </c>
      <c r="B70" t="n">
        <v>20</v>
      </c>
      <c r="C70" t="inlineStr">
        <is>
          <t>No</t>
        </is>
      </c>
      <c r="F70" t="inlineStr">
        <is>
          <t>Other dish / other CURRYiT product – route elsewhere</t>
        </is>
      </c>
      <c r="G70" t="inlineStr">
        <is>
          <t>Generic</t>
        </is>
      </c>
      <c r="H70" t="inlineStr">
        <is>
          <t>High / Commercial</t>
        </is>
      </c>
    </row>
    <row r="71">
      <c r="A71" t="inlineStr">
        <is>
          <t>india gate chettinad chicken masala</t>
        </is>
      </c>
      <c r="B71" t="n">
        <v>20</v>
      </c>
      <c r="C71" t="inlineStr">
        <is>
          <t>Yes</t>
        </is>
      </c>
      <c r="D71" t="inlineStr">
        <is>
          <t>Competitor</t>
        </is>
      </c>
      <c r="E71" t="inlineStr">
        <is>
          <t>Chettinad Competitors</t>
        </is>
      </c>
      <c r="F71" t="inlineStr">
        <is>
          <t>Competitor brand + Chettinad</t>
        </is>
      </c>
      <c r="G71" t="inlineStr">
        <is>
          <t>Generic</t>
        </is>
      </c>
      <c r="H71" t="inlineStr">
        <is>
          <t>High / Commercial</t>
        </is>
      </c>
    </row>
    <row r="72">
      <c r="A72" t="inlineStr">
        <is>
          <t>india gate classic chettinad chicken masala</t>
        </is>
      </c>
      <c r="B72" t="n">
        <v>20</v>
      </c>
      <c r="C72" t="inlineStr">
        <is>
          <t>Yes</t>
        </is>
      </c>
      <c r="D72" t="inlineStr">
        <is>
          <t>Competitor</t>
        </is>
      </c>
      <c r="E72" t="inlineStr">
        <is>
          <t>Chettinad Competitors</t>
        </is>
      </c>
      <c r="F72" t="inlineStr">
        <is>
          <t>Competitor brand + Chettinad</t>
        </is>
      </c>
      <c r="G72" t="inlineStr">
        <is>
          <t>Generic</t>
        </is>
      </c>
      <c r="H72" t="inlineStr">
        <is>
          <t>High / Commercial</t>
        </is>
      </c>
    </row>
    <row r="73">
      <c r="A73" t="inlineStr">
        <is>
          <t>itc cooking paste</t>
        </is>
      </c>
      <c r="B73" t="n">
        <v>20</v>
      </c>
      <c r="C73" t="inlineStr">
        <is>
          <t>Yes</t>
        </is>
      </c>
      <c r="D73" t="inlineStr">
        <is>
          <t>Competitor</t>
        </is>
      </c>
      <c r="E73" t="inlineStr">
        <is>
          <t>Cooking Paste Brands</t>
        </is>
      </c>
      <c r="F73" t="inlineStr">
        <is>
          <t>Competitor brand, same paste format</t>
        </is>
      </c>
      <c r="G73" t="inlineStr">
        <is>
          <t>Competitor</t>
        </is>
      </c>
      <c r="H73" t="inlineStr">
        <is>
          <t>High / Commercial</t>
        </is>
      </c>
    </row>
    <row r="74">
      <c r="A74" t="inlineStr">
        <is>
          <t>itc master chef cooking paste</t>
        </is>
      </c>
      <c r="B74" t="n">
        <v>20</v>
      </c>
      <c r="C74" t="inlineStr">
        <is>
          <t>Yes</t>
        </is>
      </c>
      <c r="D74" t="inlineStr">
        <is>
          <t>Competitor</t>
        </is>
      </c>
      <c r="E74" t="inlineStr">
        <is>
          <t>Cooking Paste Brands</t>
        </is>
      </c>
      <c r="F74" t="inlineStr">
        <is>
          <t>Competitor brand, same paste format</t>
        </is>
      </c>
      <c r="G74" t="inlineStr">
        <is>
          <t>Competitor</t>
        </is>
      </c>
      <c r="H74" t="inlineStr">
        <is>
          <t>High / Commercial</t>
        </is>
      </c>
    </row>
    <row r="75">
      <c r="A75" t="inlineStr">
        <is>
          <t>khowsuey curry paste</t>
        </is>
      </c>
      <c r="B75" t="n">
        <v>20</v>
      </c>
      <c r="C75" t="inlineStr">
        <is>
          <t>No</t>
        </is>
      </c>
      <c r="F75" t="inlineStr">
        <is>
          <t>Thai / foreign cuisine – wrong flavour for a Chettinad paste</t>
        </is>
      </c>
      <c r="G75" t="inlineStr">
        <is>
          <t>Generic</t>
        </is>
      </c>
      <c r="H75" t="inlineStr">
        <is>
          <t>High / Commercial</t>
        </is>
      </c>
    </row>
    <row r="76">
      <c r="A76" t="inlineStr">
        <is>
          <t>lobo thai curry paste</t>
        </is>
      </c>
      <c r="B76" t="n">
        <v>20</v>
      </c>
      <c r="C76" t="inlineStr">
        <is>
          <t>No</t>
        </is>
      </c>
      <c r="F76" t="inlineStr">
        <is>
          <t>Thai / foreign cuisine – wrong flavour for a Chettinad paste</t>
        </is>
      </c>
      <c r="G76" t="inlineStr">
        <is>
          <t>Generic</t>
        </is>
      </c>
      <c r="H76" t="inlineStr">
        <is>
          <t>High / Commercial</t>
        </is>
      </c>
    </row>
    <row r="77">
      <c r="A77" t="inlineStr">
        <is>
          <t>mustard paste for cooking</t>
        </is>
      </c>
      <c r="B77" t="n">
        <v>20</v>
      </c>
      <c r="C77" t="inlineStr">
        <is>
          <t>No</t>
        </is>
      </c>
      <c r="F77" t="inlineStr">
        <is>
          <t>Single-ingredient paste, not a curry</t>
        </is>
      </c>
      <c r="G77" t="inlineStr">
        <is>
          <t>Generic</t>
        </is>
      </c>
      <c r="H77" t="inlineStr">
        <is>
          <t>High / Commercial</t>
        </is>
      </c>
    </row>
    <row r="78">
      <c r="A78" t="inlineStr">
        <is>
          <t>namjai yellow curry paste</t>
        </is>
      </c>
      <c r="B78" t="n">
        <v>20</v>
      </c>
      <c r="C78" t="inlineStr">
        <is>
          <t>No</t>
        </is>
      </c>
      <c r="F78" t="inlineStr">
        <is>
          <t>Thai / foreign cuisine – wrong flavour for a Chettinad paste</t>
        </is>
      </c>
      <c r="G78" t="inlineStr">
        <is>
          <t>Generic</t>
        </is>
      </c>
      <c r="H78" t="inlineStr">
        <is>
          <t>High / Commercial</t>
        </is>
      </c>
    </row>
    <row r="79">
      <c r="A79" t="inlineStr">
        <is>
          <t>priya non veg curry masala paste</t>
        </is>
      </c>
      <c r="B79" t="n">
        <v>20</v>
      </c>
      <c r="C79" t="inlineStr">
        <is>
          <t>Yes</t>
        </is>
      </c>
      <c r="D79" t="inlineStr">
        <is>
          <t>Competitor</t>
        </is>
      </c>
      <c r="E79" t="inlineStr">
        <is>
          <t>Cooking Paste Brands</t>
        </is>
      </c>
      <c r="F79" t="inlineStr">
        <is>
          <t>Competitor brand, same paste format</t>
        </is>
      </c>
      <c r="G79" t="inlineStr">
        <is>
          <t>Competitor</t>
        </is>
      </c>
      <c r="H79" t="inlineStr">
        <is>
          <t>High / Commercial</t>
        </is>
      </c>
    </row>
    <row r="80">
      <c r="A80" t="inlineStr">
        <is>
          <t>ready to cook curry paste</t>
        </is>
      </c>
      <c r="B80" t="n">
        <v>20</v>
      </c>
      <c r="C80" t="inlineStr">
        <is>
          <t>Yes</t>
        </is>
      </c>
      <c r="D80" t="inlineStr">
        <is>
          <t>Generic</t>
        </is>
      </c>
      <c r="E80" t="inlineStr">
        <is>
          <t>Curry Paste / Ready to Cook</t>
        </is>
      </c>
      <c r="F80" t="inlineStr">
        <is>
          <t>Format match (paste / ready-to-cook)</t>
        </is>
      </c>
      <c r="G80" t="inlineStr">
        <is>
          <t>Generic</t>
        </is>
      </c>
      <c r="H80" t="inlineStr">
        <is>
          <t>High / Commercial</t>
        </is>
      </c>
    </row>
    <row r="81">
      <c r="A81" t="inlineStr">
        <is>
          <t>ready to cook fish curry</t>
        </is>
      </c>
      <c r="B81" t="n">
        <v>20</v>
      </c>
      <c r="C81" t="inlineStr">
        <is>
          <t>No</t>
        </is>
      </c>
      <c r="F81" t="inlineStr">
        <is>
          <t>Other dish / other CURRYiT product – route elsewhere</t>
        </is>
      </c>
      <c r="G81" t="inlineStr">
        <is>
          <t>Generic</t>
        </is>
      </c>
      <c r="H81" t="inlineStr">
        <is>
          <t>High / Commercial</t>
        </is>
      </c>
    </row>
    <row r="82">
      <c r="A82" t="inlineStr">
        <is>
          <t>tom yum curry paste</t>
        </is>
      </c>
      <c r="B82" t="n">
        <v>20</v>
      </c>
      <c r="C82" t="inlineStr">
        <is>
          <t>No</t>
        </is>
      </c>
      <c r="F82" t="inlineStr">
        <is>
          <t>Thai / foreign cuisine – wrong flavour for a Chettinad paste</t>
        </is>
      </c>
      <c r="G82" t="inlineStr">
        <is>
          <t>Generic</t>
        </is>
      </c>
      <c r="H82" t="inlineStr">
        <is>
          <t>High / Commercial</t>
        </is>
      </c>
    </row>
    <row r="83">
      <c r="A83" t="inlineStr">
        <is>
          <t>aachi chettinad chicken masala</t>
        </is>
      </c>
      <c r="B83" t="n">
        <v>10</v>
      </c>
      <c r="C83" t="inlineStr">
        <is>
          <t>Yes</t>
        </is>
      </c>
      <c r="D83" t="inlineStr">
        <is>
          <t>Competitor</t>
        </is>
      </c>
      <c r="E83" t="inlineStr">
        <is>
          <t>Chettinad Competitors</t>
        </is>
      </c>
      <c r="F83" t="inlineStr">
        <is>
          <t>Competitor brand + Chettinad</t>
        </is>
      </c>
      <c r="G83" t="inlineStr">
        <is>
          <t>Competitor</t>
        </is>
      </c>
      <c r="H83" t="inlineStr">
        <is>
          <t>High / Commercial</t>
        </is>
      </c>
    </row>
    <row r="84">
      <c r="A84" t="inlineStr">
        <is>
          <t>aroy d thai curry paste</t>
        </is>
      </c>
      <c r="B84" t="n">
        <v>10</v>
      </c>
      <c r="C84" t="inlineStr">
        <is>
          <t>No</t>
        </is>
      </c>
      <c r="F84" t="inlineStr">
        <is>
          <t>Thai / foreign cuisine – wrong flavour for a Chettinad paste</t>
        </is>
      </c>
      <c r="G84" t="inlineStr">
        <is>
          <t>Generic</t>
        </is>
      </c>
      <c r="H84" t="inlineStr">
        <is>
          <t>High / Commercial</t>
        </is>
      </c>
    </row>
    <row r="85">
      <c r="A85" t="inlineStr">
        <is>
          <t>authentic thai green curry paste</t>
        </is>
      </c>
      <c r="B85" t="n">
        <v>10</v>
      </c>
      <c r="C85" t="inlineStr">
        <is>
          <t>No</t>
        </is>
      </c>
      <c r="F85" t="inlineStr">
        <is>
          <t>Thai / foreign cuisine – wrong flavour for a Chettinad paste</t>
        </is>
      </c>
      <c r="G85" t="inlineStr">
        <is>
          <t>Generic</t>
        </is>
      </c>
      <c r="H85" t="inlineStr">
        <is>
          <t>High / Commercial</t>
        </is>
      </c>
    </row>
    <row r="86">
      <c r="A86" t="inlineStr">
        <is>
          <t>ayam thai curry paste</t>
        </is>
      </c>
      <c r="B86" t="n">
        <v>10</v>
      </c>
      <c r="C86" t="inlineStr">
        <is>
          <t>No</t>
        </is>
      </c>
      <c r="F86" t="inlineStr">
        <is>
          <t>Thai / foreign cuisine – wrong flavour for a Chettinad paste</t>
        </is>
      </c>
      <c r="G86" t="inlineStr">
        <is>
          <t>Generic</t>
        </is>
      </c>
      <c r="H86" t="inlineStr">
        <is>
          <t>High / Commercial</t>
        </is>
      </c>
    </row>
    <row r="87">
      <c r="A87" t="inlineStr">
        <is>
          <t>black curry paste</t>
        </is>
      </c>
      <c r="B87" t="n">
        <v>10</v>
      </c>
      <c r="C87" t="inlineStr">
        <is>
          <t>No</t>
        </is>
      </c>
      <c r="F87" t="inlineStr">
        <is>
          <t>Thai / foreign cuisine – wrong flavour for a Chettinad paste</t>
        </is>
      </c>
      <c r="G87" t="inlineStr">
        <is>
          <t>Generic</t>
        </is>
      </c>
      <c r="H87" t="inlineStr">
        <is>
          <t>High / Commercial</t>
        </is>
      </c>
    </row>
    <row r="88">
      <c r="A88" t="inlineStr">
        <is>
          <t>blue dragon thai curry paste</t>
        </is>
      </c>
      <c r="B88" t="n">
        <v>10</v>
      </c>
      <c r="C88" t="inlineStr">
        <is>
          <t>No</t>
        </is>
      </c>
      <c r="F88" t="inlineStr">
        <is>
          <t>Thai / foreign cuisine – wrong flavour for a Chettinad paste</t>
        </is>
      </c>
      <c r="G88" t="inlineStr">
        <is>
          <t>Generic</t>
        </is>
      </c>
      <c r="H88" t="inlineStr">
        <is>
          <t>High / Commercial</t>
        </is>
      </c>
    </row>
    <row r="89">
      <c r="A89" t="inlineStr">
        <is>
          <t>blue dragon thai green curry paste</t>
        </is>
      </c>
      <c r="B89" t="n">
        <v>10</v>
      </c>
      <c r="C89" t="inlineStr">
        <is>
          <t>No</t>
        </is>
      </c>
      <c r="F89" t="inlineStr">
        <is>
          <t>Thai / foreign cuisine – wrong flavour for a Chettinad paste</t>
        </is>
      </c>
      <c r="G89" t="inlineStr">
        <is>
          <t>Generic</t>
        </is>
      </c>
      <c r="H89" t="inlineStr">
        <is>
          <t>High / Commercial</t>
        </is>
      </c>
    </row>
    <row r="90">
      <c r="A90" t="inlineStr">
        <is>
          <t>blue elephant red thai curry paste</t>
        </is>
      </c>
      <c r="B90" t="n">
        <v>10</v>
      </c>
      <c r="C90" t="inlineStr">
        <is>
          <t>No</t>
        </is>
      </c>
      <c r="F90" t="inlineStr">
        <is>
          <t>Thai / foreign cuisine – wrong flavour for a Chettinad paste</t>
        </is>
      </c>
      <c r="G90" t="inlineStr">
        <is>
          <t>Competitor</t>
        </is>
      </c>
      <c r="H90" t="inlineStr">
        <is>
          <t>High / Commercial</t>
        </is>
      </c>
    </row>
    <row r="91">
      <c r="A91" t="inlineStr">
        <is>
          <t>chettinad biryani masala paste</t>
        </is>
      </c>
      <c r="B91" t="n">
        <v>10</v>
      </c>
      <c r="C91" t="inlineStr">
        <is>
          <t>No</t>
        </is>
      </c>
      <c r="F91" t="inlineStr">
        <is>
          <t>Biryani – different dish</t>
        </is>
      </c>
      <c r="G91" t="inlineStr">
        <is>
          <t>Generic</t>
        </is>
      </c>
      <c r="H91" t="inlineStr">
        <is>
          <t>High / Commercial</t>
        </is>
      </c>
    </row>
    <row r="92">
      <c r="A92" t="inlineStr">
        <is>
          <t>chettinad kulambu masala powder</t>
        </is>
      </c>
      <c r="B92" t="n">
        <v>10</v>
      </c>
      <c r="C92" t="inlineStr">
        <is>
          <t>Yes</t>
        </is>
      </c>
      <c r="D92" t="inlineStr">
        <is>
          <t>Generic</t>
        </is>
      </c>
      <c r="E92" t="inlineStr">
        <is>
          <t>Chettinad</t>
        </is>
      </c>
      <c r="F92" t="inlineStr">
        <is>
          <t>Exact cuisine match</t>
        </is>
      </c>
      <c r="G92" t="inlineStr">
        <is>
          <t>Generic</t>
        </is>
      </c>
      <c r="H92" t="inlineStr">
        <is>
          <t>High / Commercial</t>
        </is>
      </c>
    </row>
    <row r="93">
      <c r="A93" t="inlineStr">
        <is>
          <t>chicken curry masala paste</t>
        </is>
      </c>
      <c r="B93" t="n">
        <v>10</v>
      </c>
      <c r="C93" t="inlineStr">
        <is>
          <t>Yes</t>
        </is>
      </c>
      <c r="D93" t="inlineStr">
        <is>
          <t>Generic</t>
        </is>
      </c>
      <c r="E93" t="inlineStr">
        <is>
          <t>Curry Paste / Ready to Cook</t>
        </is>
      </c>
      <c r="F93" t="inlineStr">
        <is>
          <t>Format match (paste / ready-to-cook)</t>
        </is>
      </c>
      <c r="G93" t="inlineStr">
        <is>
          <t>Generic</t>
        </is>
      </c>
      <c r="H93" t="inlineStr">
        <is>
          <t>High / Commercial</t>
        </is>
      </c>
    </row>
    <row r="94">
      <c r="A94" t="inlineStr">
        <is>
          <t>curry paste bottle</t>
        </is>
      </c>
      <c r="B94" t="n">
        <v>10</v>
      </c>
      <c r="C94" t="inlineStr">
        <is>
          <t>Yes</t>
        </is>
      </c>
      <c r="D94" t="inlineStr">
        <is>
          <t>Generic</t>
        </is>
      </c>
      <c r="E94" t="inlineStr">
        <is>
          <t>Curry Paste / Ready to Cook</t>
        </is>
      </c>
      <c r="F94" t="inlineStr">
        <is>
          <t>Format match (paste / ready-to-cook)</t>
        </is>
      </c>
      <c r="G94" t="inlineStr">
        <is>
          <t>Generic</t>
        </is>
      </c>
      <c r="H94" t="inlineStr">
        <is>
          <t>High / Commercial</t>
        </is>
      </c>
    </row>
    <row r="95">
      <c r="A95" t="inlineStr">
        <is>
          <t>dancing chef green curry paste</t>
        </is>
      </c>
      <c r="B95" t="n">
        <v>10</v>
      </c>
      <c r="C95" t="inlineStr">
        <is>
          <t>No</t>
        </is>
      </c>
      <c r="F95" t="inlineStr">
        <is>
          <t>Thai / foreign cuisine – wrong flavour for a Chettinad paste</t>
        </is>
      </c>
      <c r="G95" t="inlineStr">
        <is>
          <t>Generic</t>
        </is>
      </c>
      <c r="H95" t="inlineStr">
        <is>
          <t>High / Commercial</t>
        </is>
      </c>
    </row>
    <row r="96">
      <c r="A96" t="inlineStr">
        <is>
          <t>ferns curry paste</t>
        </is>
      </c>
      <c r="B96" t="n">
        <v>10</v>
      </c>
      <c r="C96" t="inlineStr">
        <is>
          <t>No</t>
        </is>
      </c>
      <c r="F96" t="inlineStr">
        <is>
          <t>Unclear brand/intent – verify before using</t>
        </is>
      </c>
      <c r="G96" t="inlineStr">
        <is>
          <t>Generic</t>
        </is>
      </c>
      <c r="H96" t="inlineStr">
        <is>
          <t>High / Commercial</t>
        </is>
      </c>
    </row>
    <row r="97">
      <c r="A97" t="inlineStr">
        <is>
          <t>ferns hot curry paste</t>
        </is>
      </c>
      <c r="B97" t="n">
        <v>10</v>
      </c>
      <c r="C97" t="inlineStr">
        <is>
          <t>No</t>
        </is>
      </c>
      <c r="F97" t="inlineStr">
        <is>
          <t>Unclear brand/intent – verify before using</t>
        </is>
      </c>
      <c r="G97" t="inlineStr">
        <is>
          <t>Generic</t>
        </is>
      </c>
      <c r="H97" t="inlineStr">
        <is>
          <t>High / Commercial</t>
        </is>
      </c>
    </row>
    <row r="98">
      <c r="A98" t="inlineStr">
        <is>
          <t>goan fish curry paste</t>
        </is>
      </c>
      <c r="B98" t="n">
        <v>10</v>
      </c>
      <c r="C98" t="inlineStr">
        <is>
          <t>No</t>
        </is>
      </c>
      <c r="F98" t="inlineStr">
        <is>
          <t>Other dish / other CURRYiT product – route elsewhere</t>
        </is>
      </c>
      <c r="G98" t="inlineStr">
        <is>
          <t>Generic</t>
        </is>
      </c>
      <c r="H98" t="inlineStr">
        <is>
          <t>High / Commercial</t>
        </is>
      </c>
    </row>
    <row r="99">
      <c r="A99" t="inlineStr">
        <is>
          <t>indonesian curry paste</t>
        </is>
      </c>
      <c r="B99" t="n">
        <v>10</v>
      </c>
      <c r="C99" t="inlineStr">
        <is>
          <t>No</t>
        </is>
      </c>
      <c r="F99" t="inlineStr">
        <is>
          <t>Thai / foreign cuisine – wrong flavour for a Chettinad paste</t>
        </is>
      </c>
      <c r="G99" t="inlineStr">
        <is>
          <t>Generic</t>
        </is>
      </c>
      <c r="H99" t="inlineStr">
        <is>
          <t>High / Commercial</t>
        </is>
      </c>
    </row>
    <row r="100">
      <c r="A100" t="inlineStr">
        <is>
          <t>instant chicken curry masala</t>
        </is>
      </c>
      <c r="B100" t="n">
        <v>10</v>
      </c>
      <c r="C100" t="inlineStr">
        <is>
          <t>Yes</t>
        </is>
      </c>
      <c r="D100" t="inlineStr">
        <is>
          <t>Generic</t>
        </is>
      </c>
      <c r="E100" t="inlineStr">
        <is>
          <t>Chicken Curry Masala</t>
        </is>
      </c>
      <c r="F100" t="inlineStr">
        <is>
          <t>Same cooking need (chicken curry)</t>
        </is>
      </c>
      <c r="G100" t="inlineStr">
        <is>
          <t>Generic</t>
        </is>
      </c>
      <c r="H100" t="inlineStr">
        <is>
          <t>High / Commercial</t>
        </is>
      </c>
    </row>
    <row r="101">
      <c r="A101" t="inlineStr">
        <is>
          <t>instant curry paste</t>
        </is>
      </c>
      <c r="B101" t="n">
        <v>10</v>
      </c>
      <c r="C101" t="inlineStr">
        <is>
          <t>Yes</t>
        </is>
      </c>
      <c r="D101" t="inlineStr">
        <is>
          <t>Generic</t>
        </is>
      </c>
      <c r="E101" t="inlineStr">
        <is>
          <t>Curry Paste / Ready to Cook</t>
        </is>
      </c>
      <c r="F101" t="inlineStr">
        <is>
          <t>Format match (paste / ready-to-cook)</t>
        </is>
      </c>
      <c r="G101" t="inlineStr">
        <is>
          <t>Generic</t>
        </is>
      </c>
      <c r="H101" t="inlineStr">
        <is>
          <t>High / Commercial</t>
        </is>
      </c>
    </row>
    <row r="102">
      <c r="A102" t="inlineStr">
        <is>
          <t>itc masterchef cooking paste</t>
        </is>
      </c>
      <c r="B102" t="n">
        <v>10</v>
      </c>
      <c r="C102" t="inlineStr">
        <is>
          <t>Yes</t>
        </is>
      </c>
      <c r="D102" t="inlineStr">
        <is>
          <t>Competitor</t>
        </is>
      </c>
      <c r="E102" t="inlineStr">
        <is>
          <t>Cooking Paste Brands</t>
        </is>
      </c>
      <c r="F102" t="inlineStr">
        <is>
          <t>Competitor brand, same paste format</t>
        </is>
      </c>
      <c r="G102" t="inlineStr">
        <is>
          <t>Competitor</t>
        </is>
      </c>
      <c r="H102" t="inlineStr">
        <is>
          <t>High / Commercial</t>
        </is>
      </c>
    </row>
    <row r="103">
      <c r="A103" t="inlineStr">
        <is>
          <t>khao suey curry paste</t>
        </is>
      </c>
      <c r="B103" t="n">
        <v>10</v>
      </c>
      <c r="C103" t="inlineStr">
        <is>
          <t>No</t>
        </is>
      </c>
      <c r="F103" t="inlineStr">
        <is>
          <t>Thai / foreign cuisine – wrong flavour for a Chettinad paste</t>
        </is>
      </c>
      <c r="G103" t="inlineStr">
        <is>
          <t>Generic</t>
        </is>
      </c>
      <c r="H103" t="inlineStr">
        <is>
          <t>High / Commercial</t>
        </is>
      </c>
    </row>
    <row r="104">
      <c r="A104" t="inlineStr">
        <is>
          <t>korean cooking paste</t>
        </is>
      </c>
      <c r="B104" t="n">
        <v>10</v>
      </c>
      <c r="C104" t="inlineStr">
        <is>
          <t>No</t>
        </is>
      </c>
      <c r="F104" t="inlineStr">
        <is>
          <t>Thai / foreign cuisine – wrong flavour for a Chettinad paste</t>
        </is>
      </c>
      <c r="G104" t="inlineStr">
        <is>
          <t>Generic</t>
        </is>
      </c>
      <c r="H104" t="inlineStr">
        <is>
          <t>High / Commercial</t>
        </is>
      </c>
    </row>
    <row r="105">
      <c r="A105" t="inlineStr">
        <is>
          <t>lobo thai green curry paste</t>
        </is>
      </c>
      <c r="B105" t="n">
        <v>10</v>
      </c>
      <c r="C105" t="inlineStr">
        <is>
          <t>No</t>
        </is>
      </c>
      <c r="F105" t="inlineStr">
        <is>
          <t>Thai / foreign cuisine – wrong flavour for a Chettinad paste</t>
        </is>
      </c>
      <c r="G105" t="inlineStr">
        <is>
          <t>Generic</t>
        </is>
      </c>
      <c r="H105" t="inlineStr">
        <is>
          <t>High / Commercial</t>
        </is>
      </c>
    </row>
    <row r="106">
      <c r="A106" t="inlineStr">
        <is>
          <t>mint paste for cooking</t>
        </is>
      </c>
      <c r="B106" t="n">
        <v>10</v>
      </c>
      <c r="C106" t="inlineStr">
        <is>
          <t>No</t>
        </is>
      </c>
      <c r="F106" t="inlineStr">
        <is>
          <t>Single-ingredient paste, not a curry</t>
        </is>
      </c>
      <c r="G106" t="inlineStr">
        <is>
          <t>Generic</t>
        </is>
      </c>
      <c r="H106" t="inlineStr">
        <is>
          <t>High / Commercial</t>
        </is>
      </c>
    </row>
    <row r="107">
      <c r="A107" t="inlineStr">
        <is>
          <t>organic red thai curry paste</t>
        </is>
      </c>
      <c r="B107" t="n">
        <v>10</v>
      </c>
      <c r="C107" t="inlineStr">
        <is>
          <t>No</t>
        </is>
      </c>
      <c r="F107" t="inlineStr">
        <is>
          <t>Pack size / diet / unrelated product</t>
        </is>
      </c>
      <c r="G107" t="inlineStr">
        <is>
          <t>Generic</t>
        </is>
      </c>
      <c r="H107" t="inlineStr">
        <is>
          <t>High / Commercial</t>
        </is>
      </c>
    </row>
    <row r="108">
      <c r="A108" t="inlineStr">
        <is>
          <t>roopak chicken curry masala</t>
        </is>
      </c>
      <c r="B108" t="n">
        <v>10</v>
      </c>
      <c r="C108" t="inlineStr">
        <is>
          <t>Yes</t>
        </is>
      </c>
      <c r="D108" t="inlineStr">
        <is>
          <t>Competitor</t>
        </is>
      </c>
      <c r="E108" t="inlineStr">
        <is>
          <t>Chicken Curry Masala Brands</t>
        </is>
      </c>
      <c r="F108" t="inlineStr">
        <is>
          <t>Competitor brand, chicken curry masala</t>
        </is>
      </c>
      <c r="G108" t="inlineStr">
        <is>
          <t>Generic</t>
        </is>
      </c>
      <c r="H108" t="inlineStr">
        <is>
          <t>High / Commercial</t>
        </is>
      </c>
    </row>
    <row r="109">
      <c r="A109" t="inlineStr">
        <is>
          <t>shan chicken curry masala</t>
        </is>
      </c>
      <c r="B109" t="n">
        <v>10</v>
      </c>
      <c r="C109" t="inlineStr">
        <is>
          <t>Yes</t>
        </is>
      </c>
      <c r="D109" t="inlineStr">
        <is>
          <t>Competitor</t>
        </is>
      </c>
      <c r="E109" t="inlineStr">
        <is>
          <t>Chicken Curry Masala Brands</t>
        </is>
      </c>
      <c r="F109" t="inlineStr">
        <is>
          <t>Competitor brand, chicken curry masala</t>
        </is>
      </c>
      <c r="G109" t="inlineStr">
        <is>
          <t>Competitor</t>
        </is>
      </c>
      <c r="H109" t="inlineStr">
        <is>
          <t>High / Commercial</t>
        </is>
      </c>
    </row>
    <row r="110">
      <c r="A110" t="inlineStr">
        <is>
          <t>singapore curry paste</t>
        </is>
      </c>
      <c r="B110" t="n">
        <v>10</v>
      </c>
      <c r="C110" t="inlineStr">
        <is>
          <t>No</t>
        </is>
      </c>
      <c r="F110" t="inlineStr">
        <is>
          <t>Thai / foreign cuisine – wrong flavour for a Chettinad paste</t>
        </is>
      </c>
      <c r="G110" t="inlineStr">
        <is>
          <t>Generic</t>
        </is>
      </c>
      <c r="H110" t="inlineStr">
        <is>
          <t>High / Commercial</t>
        </is>
      </c>
    </row>
    <row r="111">
      <c r="A111" t="inlineStr">
        <is>
          <t>spicy chicken curry masala</t>
        </is>
      </c>
      <c r="B111" t="n">
        <v>10</v>
      </c>
      <c r="C111" t="inlineStr">
        <is>
          <t>Yes</t>
        </is>
      </c>
      <c r="D111" t="inlineStr">
        <is>
          <t>Generic</t>
        </is>
      </c>
      <c r="E111" t="inlineStr">
        <is>
          <t>Chicken Curry Masala</t>
        </is>
      </c>
      <c r="F111" t="inlineStr">
        <is>
          <t>Same cooking need (chicken curry)</t>
        </is>
      </c>
      <c r="G111" t="inlineStr">
        <is>
          <t>Generic</t>
        </is>
      </c>
      <c r="H111" t="inlineStr">
        <is>
          <t>High / Commercial</t>
        </is>
      </c>
    </row>
    <row r="112">
      <c r="A112" t="inlineStr">
        <is>
          <t>tamarind paste for cooking</t>
        </is>
      </c>
      <c r="B112" t="n">
        <v>10</v>
      </c>
      <c r="C112" t="inlineStr">
        <is>
          <t>No</t>
        </is>
      </c>
      <c r="F112" t="inlineStr">
        <is>
          <t>Single-ingredient paste, not a curry</t>
        </is>
      </c>
      <c r="G112" t="inlineStr">
        <is>
          <t>Generic</t>
        </is>
      </c>
      <c r="H112" t="inlineStr">
        <is>
          <t>High / Commercial</t>
        </is>
      </c>
    </row>
    <row r="113">
      <c r="A113" t="inlineStr">
        <is>
          <t>tomato paste for cooking</t>
        </is>
      </c>
      <c r="B113" t="n">
        <v>10</v>
      </c>
      <c r="C113" t="inlineStr">
        <is>
          <t>No</t>
        </is>
      </c>
      <c r="F113" t="inlineStr">
        <is>
          <t>Single-ingredient paste, not a curry</t>
        </is>
      </c>
      <c r="G113" t="inlineStr">
        <is>
          <t>Generic</t>
        </is>
      </c>
      <c r="H113" t="inlineStr">
        <is>
          <t>High / Commercial</t>
        </is>
      </c>
    </row>
    <row r="114">
      <c r="A114" t="inlineStr">
        <is>
          <t>urban platter thai curry paste</t>
        </is>
      </c>
      <c r="B114" t="n">
        <v>10</v>
      </c>
      <c r="C114" t="inlineStr">
        <is>
          <t>No</t>
        </is>
      </c>
      <c r="F114" t="inlineStr">
        <is>
          <t>Thai / foreign cuisine – wrong flavour for a Chettinad paste</t>
        </is>
      </c>
      <c r="G114" t="inlineStr">
        <is>
          <t>Generic</t>
        </is>
      </c>
      <c r="H114" t="inlineStr">
        <is>
          <t>High / Commercial</t>
        </is>
      </c>
    </row>
    <row r="115">
      <c r="A115" t="inlineStr">
        <is>
          <t>veg thai green curry paste</t>
        </is>
      </c>
      <c r="B115" t="n">
        <v>10</v>
      </c>
      <c r="C115" t="inlineStr">
        <is>
          <t>No</t>
        </is>
      </c>
      <c r="F115" t="inlineStr">
        <is>
          <t>Thai / foreign cuisine – wrong flavour for a Chettinad paste</t>
        </is>
      </c>
      <c r="G115" t="inlineStr">
        <is>
          <t>Generic</t>
        </is>
      </c>
      <c r="H115" t="inlineStr">
        <is>
          <t>High / Commercial</t>
        </is>
      </c>
    </row>
    <row r="116">
      <c r="A116" t="inlineStr">
        <is>
          <t>8 oz 227 g</t>
        </is>
      </c>
      <c r="C116" t="inlineStr">
        <is>
          <t>No</t>
        </is>
      </c>
      <c r="F116" t="inlineStr">
        <is>
          <t>Pack size / diet / unrelated product</t>
        </is>
      </c>
      <c r="G116" t="inlineStr">
        <is>
          <t>Generic</t>
        </is>
      </c>
      <c r="H116" t="inlineStr">
        <is>
          <t>Generic / Mixed</t>
        </is>
      </c>
    </row>
    <row r="117">
      <c r="A117" t="inlineStr">
        <is>
          <t>aachi chettinad masala</t>
        </is>
      </c>
      <c r="C117" t="inlineStr">
        <is>
          <t>Yes</t>
        </is>
      </c>
      <c r="D117" t="inlineStr">
        <is>
          <t>Competitor</t>
        </is>
      </c>
      <c r="E117" t="inlineStr">
        <is>
          <t>Chettinad Competitors</t>
        </is>
      </c>
      <c r="F117" t="inlineStr">
        <is>
          <t>Competitor brand + Chettinad</t>
        </is>
      </c>
      <c r="G117" t="inlineStr">
        <is>
          <t>Competitor</t>
        </is>
      </c>
      <c r="H117" t="inlineStr">
        <is>
          <t>High / Commercial</t>
        </is>
      </c>
    </row>
    <row r="118">
      <c r="A118" t="inlineStr">
        <is>
          <t>amashaa masala ready to cook red curry</t>
        </is>
      </c>
      <c r="C118" t="inlineStr">
        <is>
          <t>No</t>
        </is>
      </c>
      <c r="F118" t="inlineStr">
        <is>
          <t>Thai / foreign cuisine – wrong flavour for a Chettinad paste</t>
        </is>
      </c>
      <c r="G118" t="inlineStr">
        <is>
          <t>Generic</t>
        </is>
      </c>
      <c r="H118" t="inlineStr">
        <is>
          <t>High / Commercial</t>
        </is>
      </c>
    </row>
    <row r="119">
      <c r="A119" t="inlineStr">
        <is>
          <t>andhra chicken curry masala</t>
        </is>
      </c>
      <c r="C119" t="inlineStr">
        <is>
          <t>No</t>
        </is>
      </c>
      <c r="F119" t="inlineStr">
        <is>
          <t>Other regional chicken masala – test only, not core</t>
        </is>
      </c>
      <c r="G119" t="inlineStr">
        <is>
          <t>Generic</t>
        </is>
      </c>
      <c r="H119" t="inlineStr">
        <is>
          <t>High / Commercial</t>
        </is>
      </c>
    </row>
    <row r="120">
      <c r="A120" t="inlineStr">
        <is>
          <t>andhra mutton curry masala paste</t>
        </is>
      </c>
      <c r="C120" t="inlineStr">
        <is>
          <t>No</t>
        </is>
      </c>
      <c r="F120" t="inlineStr">
        <is>
          <t>Other dish / other CURRYiT product – route elsewhere</t>
        </is>
      </c>
      <c r="G120" t="inlineStr">
        <is>
          <t>Generic</t>
        </is>
      </c>
      <c r="H120" t="inlineStr">
        <is>
          <t>High / Commercial</t>
        </is>
      </c>
    </row>
    <row r="121">
      <c r="A121" t="inlineStr">
        <is>
          <t>bengali chicken curry masala</t>
        </is>
      </c>
      <c r="C121" t="inlineStr">
        <is>
          <t>No</t>
        </is>
      </c>
      <c r="F121" t="inlineStr">
        <is>
          <t>Other regional chicken masala – test only, not core</t>
        </is>
      </c>
      <c r="G121" t="inlineStr">
        <is>
          <t>Generic</t>
        </is>
      </c>
      <c r="H121" t="inlineStr">
        <is>
          <t>High / Commercial</t>
        </is>
      </c>
    </row>
    <row r="122">
      <c r="A122" t="inlineStr">
        <is>
          <t>bengali mustard paste for cooking</t>
        </is>
      </c>
      <c r="C122" t="inlineStr">
        <is>
          <t>No</t>
        </is>
      </c>
      <c r="F122" t="inlineStr">
        <is>
          <t>Single-ingredient paste, not a curry</t>
        </is>
      </c>
      <c r="G122" t="inlineStr">
        <is>
          <t>Generic</t>
        </is>
      </c>
      <c r="H122" t="inlineStr">
        <is>
          <t>High / Commercial</t>
        </is>
      </c>
    </row>
    <row r="123">
      <c r="A123" t="inlineStr">
        <is>
          <t>bengali mustard paste packet by emamifor cooking</t>
        </is>
      </c>
      <c r="C123" t="inlineStr">
        <is>
          <t>No</t>
        </is>
      </c>
      <c r="F123" t="inlineStr">
        <is>
          <t>Single-ingredient paste, not a curry</t>
        </is>
      </c>
      <c r="G123" t="inlineStr">
        <is>
          <t>Generic</t>
        </is>
      </c>
      <c r="H123" t="inlineStr">
        <is>
          <t>High / Commercial</t>
        </is>
      </c>
    </row>
    <row r="124">
      <c r="A124" t="inlineStr">
        <is>
          <t>butter chicken cooking paste</t>
        </is>
      </c>
      <c r="C124" t="inlineStr">
        <is>
          <t>No</t>
        </is>
      </c>
      <c r="F124" t="inlineStr">
        <is>
          <t>Other dish / other CURRYiT product – route elsewhere</t>
        </is>
      </c>
      <c r="G124" t="inlineStr">
        <is>
          <t>Generic</t>
        </is>
      </c>
      <c r="H124" t="inlineStr">
        <is>
          <t>High / Commercial</t>
        </is>
      </c>
    </row>
    <row r="125">
      <c r="A125" t="inlineStr">
        <is>
          <t>chettinad biryani rice mix masala</t>
        </is>
      </c>
      <c r="C125" t="inlineStr">
        <is>
          <t>No</t>
        </is>
      </c>
      <c r="F125" t="inlineStr">
        <is>
          <t>Biryani – different dish</t>
        </is>
      </c>
      <c r="G125" t="inlineStr">
        <is>
          <t>Generic</t>
        </is>
      </c>
      <c r="H125" t="inlineStr">
        <is>
          <t>High / Commercial</t>
        </is>
      </c>
    </row>
    <row r="126">
      <c r="A126" t="inlineStr">
        <is>
          <t>chettinad masala dry</t>
        </is>
      </c>
      <c r="C126" t="inlineStr">
        <is>
          <t>Yes</t>
        </is>
      </c>
      <c r="D126" t="inlineStr">
        <is>
          <t>Generic</t>
        </is>
      </c>
      <c r="E126" t="inlineStr">
        <is>
          <t>Chettinad</t>
        </is>
      </c>
      <c r="F126" t="inlineStr">
        <is>
          <t>Exact cuisine match</t>
        </is>
      </c>
      <c r="G126" t="inlineStr">
        <is>
          <t>Generic</t>
        </is>
      </c>
      <c r="H126" t="inlineStr">
        <is>
          <t>High / Commercial</t>
        </is>
      </c>
    </row>
    <row r="127">
      <c r="A127" t="inlineStr">
        <is>
          <t>chettinad masala mtr</t>
        </is>
      </c>
      <c r="C127" t="inlineStr">
        <is>
          <t>Yes</t>
        </is>
      </c>
      <c r="D127" t="inlineStr">
        <is>
          <t>Competitor</t>
        </is>
      </c>
      <c r="E127" t="inlineStr">
        <is>
          <t>Chettinad Competitors</t>
        </is>
      </c>
      <c r="F127" t="inlineStr">
        <is>
          <t>Competitor brand + Chettinad</t>
        </is>
      </c>
      <c r="G127" t="inlineStr">
        <is>
          <t>Competitor</t>
        </is>
      </c>
      <c r="H127" t="inlineStr">
        <is>
          <t>High / Commercial</t>
        </is>
      </c>
    </row>
    <row r="128">
      <c r="A128" t="inlineStr">
        <is>
          <t>chettinad masala tamil nadu</t>
        </is>
      </c>
      <c r="C128" t="inlineStr">
        <is>
          <t>Yes</t>
        </is>
      </c>
      <c r="D128" t="inlineStr">
        <is>
          <t>Generic</t>
        </is>
      </c>
      <c r="E128" t="inlineStr">
        <is>
          <t>Chettinad</t>
        </is>
      </c>
      <c r="F128" t="inlineStr">
        <is>
          <t>Exact cuisine match</t>
        </is>
      </c>
      <c r="G128" t="inlineStr">
        <is>
          <t>Generic</t>
        </is>
      </c>
      <c r="H128" t="inlineStr">
        <is>
          <t>High / Commercial</t>
        </is>
      </c>
    </row>
    <row r="129">
      <c r="A129" t="inlineStr">
        <is>
          <t>chicken curry masala 1 kg</t>
        </is>
      </c>
      <c r="C129" t="inlineStr">
        <is>
          <t>No</t>
        </is>
      </c>
      <c r="F129" t="inlineStr">
        <is>
          <t>Pack size / diet / unrelated product</t>
        </is>
      </c>
      <c r="G129" t="inlineStr">
        <is>
          <t>Generic</t>
        </is>
      </c>
      <c r="H129" t="inlineStr">
        <is>
          <t>High / Commercial</t>
        </is>
      </c>
    </row>
    <row r="130">
      <c r="A130" t="inlineStr">
        <is>
          <t>chicken curry masala 500gm</t>
        </is>
      </c>
      <c r="C130" t="inlineStr">
        <is>
          <t>No</t>
        </is>
      </c>
      <c r="F130" t="inlineStr">
        <is>
          <t>Pack size / diet / unrelated product</t>
        </is>
      </c>
      <c r="G130" t="inlineStr">
        <is>
          <t>Generic</t>
        </is>
      </c>
      <c r="H130" t="inlineStr">
        <is>
          <t>High / Commercial</t>
        </is>
      </c>
    </row>
    <row r="131">
      <c r="A131" t="inlineStr">
        <is>
          <t>chicken curry masala organic</t>
        </is>
      </c>
      <c r="C131" t="inlineStr">
        <is>
          <t>No</t>
        </is>
      </c>
      <c r="F131" t="inlineStr">
        <is>
          <t>Pack size / diet / unrelated product</t>
        </is>
      </c>
      <c r="G131" t="inlineStr">
        <is>
          <t>Generic</t>
        </is>
      </c>
      <c r="H131" t="inlineStr">
        <is>
          <t>High / Commercial</t>
        </is>
      </c>
    </row>
    <row r="132">
      <c r="A132" t="inlineStr">
        <is>
          <t>chicken curry paste ready to cook</t>
        </is>
      </c>
      <c r="C132" t="inlineStr">
        <is>
          <t>Yes</t>
        </is>
      </c>
      <c r="D132" t="inlineStr">
        <is>
          <t>Generic</t>
        </is>
      </c>
      <c r="E132" t="inlineStr">
        <is>
          <t>Curry Paste / Ready to Cook</t>
        </is>
      </c>
      <c r="F132" t="inlineStr">
        <is>
          <t>Format match (paste / ready-to-cook)</t>
        </is>
      </c>
      <c r="G132" t="inlineStr">
        <is>
          <t>Generic</t>
        </is>
      </c>
      <c r="H132" t="inlineStr">
        <is>
          <t>High / Commercial</t>
        </is>
      </c>
    </row>
    <row r="133">
      <c r="A133" t="inlineStr">
        <is>
          <t>chilli garlic paste for indian cooking</t>
        </is>
      </c>
      <c r="C133" t="inlineStr">
        <is>
          <t>No</t>
        </is>
      </c>
      <c r="F133" t="inlineStr">
        <is>
          <t>Single-ingredient paste, not a curry</t>
        </is>
      </c>
      <c r="G133" t="inlineStr">
        <is>
          <t>Generic</t>
        </is>
      </c>
      <c r="H133" t="inlineStr">
        <is>
          <t>High / Commercial</t>
        </is>
      </c>
    </row>
    <row r="134">
      <c r="A134" t="inlineStr">
        <is>
          <t>chilli paste for cooking</t>
        </is>
      </c>
      <c r="C134" t="inlineStr">
        <is>
          <t>No</t>
        </is>
      </c>
      <c r="F134" t="inlineStr">
        <is>
          <t>Single-ingredient paste, not a curry</t>
        </is>
      </c>
      <c r="G134" t="inlineStr">
        <is>
          <t>Generic</t>
        </is>
      </c>
      <c r="H134" t="inlineStr">
        <is>
          <t>High / Commercial</t>
        </is>
      </c>
    </row>
    <row r="135">
      <c r="A135" t="inlineStr">
        <is>
          <t>coconut paste for cooking thai food</t>
        </is>
      </c>
      <c r="C135" t="inlineStr">
        <is>
          <t>No</t>
        </is>
      </c>
      <c r="F135" t="inlineStr">
        <is>
          <t>Thai / foreign cuisine – wrong flavour for a Chettinad paste</t>
        </is>
      </c>
      <c r="G135" t="inlineStr">
        <is>
          <t>Generic</t>
        </is>
      </c>
      <c r="H135" t="inlineStr">
        <is>
          <t>High / Commercial</t>
        </is>
      </c>
    </row>
    <row r="136">
      <c r="A136" t="inlineStr">
        <is>
          <t>cooking masala paste</t>
        </is>
      </c>
      <c r="C136" t="inlineStr">
        <is>
          <t>Yes</t>
        </is>
      </c>
      <c r="D136" t="inlineStr">
        <is>
          <t>Generic</t>
        </is>
      </c>
      <c r="E136" t="inlineStr">
        <is>
          <t>Curry Paste / Ready to Cook</t>
        </is>
      </c>
      <c r="F136" t="inlineStr">
        <is>
          <t>Format match (paste / ready-to-cook)</t>
        </is>
      </c>
      <c r="G136" t="inlineStr">
        <is>
          <t>Generic</t>
        </is>
      </c>
      <c r="H136" t="inlineStr">
        <is>
          <t>High / Commercial</t>
        </is>
      </c>
    </row>
    <row r="137">
      <c r="A137" t="inlineStr">
        <is>
          <t>cooking paste veg</t>
        </is>
      </c>
      <c r="C137" t="inlineStr">
        <is>
          <t>No</t>
        </is>
      </c>
      <c r="F137" t="inlineStr">
        <is>
          <t>Veg / sauces intent – weak match for chicken paste</t>
        </is>
      </c>
      <c r="G137" t="inlineStr">
        <is>
          <t>Generic</t>
        </is>
      </c>
      <c r="H137" t="inlineStr">
        <is>
          <t>High / Commercial</t>
        </is>
      </c>
    </row>
    <row r="138">
      <c r="A138" t="inlineStr">
        <is>
          <t>cooking pastes &amp; sauces</t>
        </is>
      </c>
      <c r="C138" t="inlineStr">
        <is>
          <t>No</t>
        </is>
      </c>
      <c r="F138" t="inlineStr">
        <is>
          <t>Veg / sauces intent – weak match for chicken paste</t>
        </is>
      </c>
      <c r="G138" t="inlineStr">
        <is>
          <t>Generic</t>
        </is>
      </c>
      <c r="H138" t="inlineStr">
        <is>
          <t>High / Commercial</t>
        </is>
      </c>
    </row>
    <row r="139">
      <c r="A139" t="inlineStr">
        <is>
          <t>curry leaves rice mix paste</t>
        </is>
      </c>
      <c r="C139" t="inlineStr">
        <is>
          <t>No</t>
        </is>
      </c>
      <c r="F139" t="inlineStr">
        <is>
          <t>Pack size / diet / unrelated product</t>
        </is>
      </c>
      <c r="G139" t="inlineStr">
        <is>
          <t>Generic</t>
        </is>
      </c>
      <c r="H139" t="inlineStr">
        <is>
          <t>High / Commercial</t>
        </is>
      </c>
    </row>
    <row r="140">
      <c r="A140" t="inlineStr">
        <is>
          <t>curry leaves rice mix paste sweet karam coffee</t>
        </is>
      </c>
      <c r="C140" t="inlineStr">
        <is>
          <t>No</t>
        </is>
      </c>
      <c r="F140" t="inlineStr">
        <is>
          <t>Pack size / diet / unrelated product</t>
        </is>
      </c>
      <c r="G140" t="inlineStr">
        <is>
          <t>Generic</t>
        </is>
      </c>
      <c r="H140" t="inlineStr">
        <is>
          <t>High / Commercial</t>
        </is>
      </c>
    </row>
    <row r="141">
      <c r="A141" t="inlineStr">
        <is>
          <t>curry leaves rice paste</t>
        </is>
      </c>
      <c r="C141" t="inlineStr">
        <is>
          <t>No</t>
        </is>
      </c>
      <c r="F141" t="inlineStr">
        <is>
          <t>Pack size / diet / unrelated product</t>
        </is>
      </c>
      <c r="G141" t="inlineStr">
        <is>
          <t>Generic</t>
        </is>
      </c>
      <c r="H141" t="inlineStr">
        <is>
          <t>High / Commercial</t>
        </is>
      </c>
    </row>
    <row r="142">
      <c r="A142" t="inlineStr">
        <is>
          <t>curry paste 1kg</t>
        </is>
      </c>
      <c r="C142" t="inlineStr">
        <is>
          <t>No</t>
        </is>
      </c>
      <c r="F142" t="inlineStr">
        <is>
          <t>Pack size / diet / unrelated product</t>
        </is>
      </c>
      <c r="G142" t="inlineStr">
        <is>
          <t>Generic</t>
        </is>
      </c>
      <c r="H142" t="inlineStr">
        <is>
          <t>High / Commercial</t>
        </is>
      </c>
    </row>
    <row r="143">
      <c r="A143" t="inlineStr">
        <is>
          <t>curry paste for cooking</t>
        </is>
      </c>
      <c r="C143" t="inlineStr">
        <is>
          <t>Yes</t>
        </is>
      </c>
      <c r="D143" t="inlineStr">
        <is>
          <t>Generic</t>
        </is>
      </c>
      <c r="E143" t="inlineStr">
        <is>
          <t>Curry Paste / Ready to Cook</t>
        </is>
      </c>
      <c r="F143" t="inlineStr">
        <is>
          <t>Format match (paste / ready-to-cook)</t>
        </is>
      </c>
      <c r="G143" t="inlineStr">
        <is>
          <t>Generic</t>
        </is>
      </c>
      <c r="H143" t="inlineStr">
        <is>
          <t>High / Commercial</t>
        </is>
      </c>
    </row>
    <row r="144">
      <c r="A144" t="inlineStr">
        <is>
          <t>curry paste for rice</t>
        </is>
      </c>
      <c r="C144" t="inlineStr">
        <is>
          <t>No</t>
        </is>
      </c>
      <c r="F144" t="inlineStr">
        <is>
          <t>Pack size / diet / unrelated product</t>
        </is>
      </c>
      <c r="G144" t="inlineStr">
        <is>
          <t>Generic</t>
        </is>
      </c>
      <c r="H144" t="inlineStr">
        <is>
          <t>High / Commercial</t>
        </is>
      </c>
    </row>
    <row r="145">
      <c r="A145" t="inlineStr">
        <is>
          <t>curry paste veg</t>
        </is>
      </c>
      <c r="C145" t="inlineStr">
        <is>
          <t>No</t>
        </is>
      </c>
      <c r="F145" t="inlineStr">
        <is>
          <t>Veg / sauces intent – weak match for chicken paste</t>
        </is>
      </c>
      <c r="G145" t="inlineStr">
        <is>
          <t>Generic</t>
        </is>
      </c>
      <c r="H145" t="inlineStr">
        <is>
          <t>High / Commercial</t>
        </is>
      </c>
    </row>
    <row r="146">
      <c r="A146" t="inlineStr">
        <is>
          <t>curry rogan josh paste</t>
        </is>
      </c>
      <c r="C146" t="inlineStr">
        <is>
          <t>No</t>
        </is>
      </c>
      <c r="F146" t="inlineStr">
        <is>
          <t>Other dish / other CURRYiT product – route elsewhere</t>
        </is>
      </c>
      <c r="G146" t="inlineStr">
        <is>
          <t>Generic</t>
        </is>
      </c>
      <c r="H146" t="inlineStr">
        <is>
          <t>High / Commercial</t>
        </is>
      </c>
    </row>
    <row r="147">
      <c r="A147" t="inlineStr">
        <is>
          <t>curryit chettinad chicken curry masala paste</t>
        </is>
      </c>
      <c r="C147" t="inlineStr">
        <is>
          <t>Yes</t>
        </is>
      </c>
      <c r="D147" t="inlineStr">
        <is>
          <t>Brand</t>
        </is>
      </c>
      <c r="E147" t="inlineStr">
        <is>
          <t>Brand + Chettinad</t>
        </is>
      </c>
      <c r="F147" t="inlineStr">
        <is>
          <t>Own brand + exact product</t>
        </is>
      </c>
      <c r="G147" t="inlineStr">
        <is>
          <t>Brand</t>
        </is>
      </c>
      <c r="H147" t="inlineStr">
        <is>
          <t>High / Commercial</t>
        </is>
      </c>
    </row>
    <row r="148">
      <c r="A148" t="inlineStr">
        <is>
          <t>curryit punjabi kadhai paneer masala premium cooking paste</t>
        </is>
      </c>
      <c r="C148" t="inlineStr">
        <is>
          <t>No</t>
        </is>
      </c>
      <c r="F148" t="inlineStr">
        <is>
          <t>Own brand, other product – route to that product's campaign</t>
        </is>
      </c>
      <c r="G148" t="inlineStr">
        <is>
          <t>Brand</t>
        </is>
      </c>
      <c r="H148" t="inlineStr">
        <is>
          <t>High / Commercial</t>
        </is>
      </c>
    </row>
    <row r="149">
      <c r="A149" t="inlineStr">
        <is>
          <t>dabur tamarind paste for cooking</t>
        </is>
      </c>
      <c r="C149" t="inlineStr">
        <is>
          <t>No</t>
        </is>
      </c>
      <c r="F149" t="inlineStr">
        <is>
          <t>Single-ingredient paste, not a curry</t>
        </is>
      </c>
      <c r="G149" t="inlineStr">
        <is>
          <t>Generic</t>
        </is>
      </c>
      <c r="H149" t="inlineStr">
        <is>
          <t>High / Commercial</t>
        </is>
      </c>
    </row>
    <row r="150">
      <c r="A150" t="inlineStr">
        <is>
          <t>fish curry masala ready to cook</t>
        </is>
      </c>
      <c r="C150" t="inlineStr">
        <is>
          <t>No</t>
        </is>
      </c>
      <c r="F150" t="inlineStr">
        <is>
          <t>Other dish / other CURRYiT product – route elsewhere</t>
        </is>
      </c>
      <c r="G150" t="inlineStr">
        <is>
          <t>Generic</t>
        </is>
      </c>
      <c r="H150" t="inlineStr">
        <is>
          <t>High / Commercial</t>
        </is>
      </c>
    </row>
    <row r="151">
      <c r="A151" t="inlineStr">
        <is>
          <t>fish curry paste ready to cook</t>
        </is>
      </c>
      <c r="C151" t="inlineStr">
        <is>
          <t>No</t>
        </is>
      </c>
      <c r="F151" t="inlineStr">
        <is>
          <t>Other dish / other CURRYiT product – route elsewhere</t>
        </is>
      </c>
      <c r="G151" t="inlineStr">
        <is>
          <t>Generic</t>
        </is>
      </c>
      <c r="H151" t="inlineStr">
        <is>
          <t>High / Commercial</t>
        </is>
      </c>
    </row>
    <row r="152">
      <c r="A152" t="inlineStr">
        <is>
          <t>goa fish curry paste</t>
        </is>
      </c>
      <c r="C152" t="inlineStr">
        <is>
          <t>No</t>
        </is>
      </c>
      <c r="F152" t="inlineStr">
        <is>
          <t>Other dish / other CURRYiT product – route elsewhere</t>
        </is>
      </c>
      <c r="G152" t="inlineStr">
        <is>
          <t>Generic</t>
        </is>
      </c>
      <c r="H152" t="inlineStr">
        <is>
          <t>High / Commercial</t>
        </is>
      </c>
    </row>
    <row r="153">
      <c r="A153" t="inlineStr">
        <is>
          <t>goan fish curry masala paste</t>
        </is>
      </c>
      <c r="C153" t="inlineStr">
        <is>
          <t>No</t>
        </is>
      </c>
      <c r="F153" t="inlineStr">
        <is>
          <t>Other dish / other CURRYiT product – route elsewhere</t>
        </is>
      </c>
      <c r="G153" t="inlineStr">
        <is>
          <t>Generic</t>
        </is>
      </c>
      <c r="H153" t="inlineStr">
        <is>
          <t>High / Commercial</t>
        </is>
      </c>
    </row>
    <row r="154">
      <c r="A154" t="inlineStr">
        <is>
          <t>green chilli paste for cooking</t>
        </is>
      </c>
      <c r="C154" t="inlineStr">
        <is>
          <t>No</t>
        </is>
      </c>
      <c r="F154" t="inlineStr">
        <is>
          <t>Single-ingredient paste, not a curry</t>
        </is>
      </c>
      <c r="G154" t="inlineStr">
        <is>
          <t>Generic</t>
        </is>
      </c>
      <c r="H154" t="inlineStr">
        <is>
          <t>High / Commercial</t>
        </is>
      </c>
    </row>
    <row r="155">
      <c r="A155" t="inlineStr">
        <is>
          <t>green thai curry paste jain</t>
        </is>
      </c>
      <c r="C155" t="inlineStr">
        <is>
          <t>No</t>
        </is>
      </c>
      <c r="F155" t="inlineStr">
        <is>
          <t>Jain / no onion-garlic; CURRYiT contains onion &amp; garlic</t>
        </is>
      </c>
      <c r="G155" t="inlineStr">
        <is>
          <t>Generic</t>
        </is>
      </c>
      <c r="H155" t="inlineStr">
        <is>
          <t>High / Commercial</t>
        </is>
      </c>
    </row>
    <row r="156">
      <c r="A156" t="inlineStr">
        <is>
          <t>imli paste for cooking</t>
        </is>
      </c>
      <c r="C156" t="inlineStr">
        <is>
          <t>No</t>
        </is>
      </c>
      <c r="F156" t="inlineStr">
        <is>
          <t>Single-ingredient paste, not a curry</t>
        </is>
      </c>
      <c r="G156" t="inlineStr">
        <is>
          <t>Generic</t>
        </is>
      </c>
      <c r="H156" t="inlineStr">
        <is>
          <t>High / Commercial</t>
        </is>
      </c>
    </row>
    <row r="157">
      <c r="A157" t="inlineStr">
        <is>
          <t>india gate classic chettinad chicken masala gravy</t>
        </is>
      </c>
      <c r="C157" t="inlineStr">
        <is>
          <t>Yes</t>
        </is>
      </c>
      <c r="D157" t="inlineStr">
        <is>
          <t>Competitor</t>
        </is>
      </c>
      <c r="E157" t="inlineStr">
        <is>
          <t>Chettinad Competitors</t>
        </is>
      </c>
      <c r="F157" t="inlineStr">
        <is>
          <t>Competitor brand + Chettinad</t>
        </is>
      </c>
      <c r="G157" t="inlineStr">
        <is>
          <t>Generic</t>
        </is>
      </c>
      <c r="H157" t="inlineStr">
        <is>
          <t>High / Commercial</t>
        </is>
      </c>
    </row>
    <row r="158">
      <c r="A158" t="inlineStr">
        <is>
          <t>indian curry paste combo</t>
        </is>
      </c>
      <c r="C158" t="inlineStr">
        <is>
          <t>Yes</t>
        </is>
      </c>
      <c r="D158" t="inlineStr">
        <is>
          <t>Generic</t>
        </is>
      </c>
      <c r="E158" t="inlineStr">
        <is>
          <t>Curry Paste / Ready to Cook</t>
        </is>
      </c>
      <c r="F158" t="inlineStr">
        <is>
          <t>Format match (paste / ready-to-cook)</t>
        </is>
      </c>
      <c r="G158" t="inlineStr">
        <is>
          <t>Generic</t>
        </is>
      </c>
      <c r="H158" t="inlineStr">
        <is>
          <t>High / Commercial</t>
        </is>
      </c>
    </row>
    <row r="159">
      <c r="A159" t="inlineStr">
        <is>
          <t>itc butter chicken cooking paste</t>
        </is>
      </c>
      <c r="C159" t="inlineStr">
        <is>
          <t>No</t>
        </is>
      </c>
      <c r="F159" t="inlineStr">
        <is>
          <t>Other dish / other CURRYiT product – route elsewhere</t>
        </is>
      </c>
      <c r="G159" t="inlineStr">
        <is>
          <t>Competitor</t>
        </is>
      </c>
      <c r="H159" t="inlineStr">
        <is>
          <t>High / Commercial</t>
        </is>
      </c>
    </row>
    <row r="160">
      <c r="A160" t="inlineStr">
        <is>
          <t>itc curry paste</t>
        </is>
      </c>
      <c r="C160" t="inlineStr">
        <is>
          <t>Yes</t>
        </is>
      </c>
      <c r="D160" t="inlineStr">
        <is>
          <t>Competitor</t>
        </is>
      </c>
      <c r="E160" t="inlineStr">
        <is>
          <t>Cooking Paste Brands</t>
        </is>
      </c>
      <c r="F160" t="inlineStr">
        <is>
          <t>Competitor brand, same paste format</t>
        </is>
      </c>
      <c r="G160" t="inlineStr">
        <is>
          <t>Competitor</t>
        </is>
      </c>
      <c r="H160" t="inlineStr">
        <is>
          <t>High / Commercial</t>
        </is>
      </c>
    </row>
    <row r="161">
      <c r="A161" t="inlineStr">
        <is>
          <t>jain khowsuey curry paste</t>
        </is>
      </c>
      <c r="C161" t="inlineStr">
        <is>
          <t>No</t>
        </is>
      </c>
      <c r="F161" t="inlineStr">
        <is>
          <t>Jain / no onion-garlic; CURRYiT contains onion &amp; garlic</t>
        </is>
      </c>
      <c r="G161" t="inlineStr">
        <is>
          <t>Generic</t>
        </is>
      </c>
      <c r="H161" t="inlineStr">
        <is>
          <t>High / Commercial</t>
        </is>
      </c>
    </row>
    <row r="162">
      <c r="A162" t="inlineStr">
        <is>
          <t>jain red thai curry paste</t>
        </is>
      </c>
      <c r="C162" t="inlineStr">
        <is>
          <t>No</t>
        </is>
      </c>
      <c r="F162" t="inlineStr">
        <is>
          <t>Jain / no onion-garlic; CURRYiT contains onion &amp; garlic</t>
        </is>
      </c>
      <c r="G162" t="inlineStr">
        <is>
          <t>Generic</t>
        </is>
      </c>
      <c r="H162" t="inlineStr">
        <is>
          <t>High / Commercial</t>
        </is>
      </c>
    </row>
    <row r="163">
      <c r="A163" t="inlineStr">
        <is>
          <t>jain red thai curry paste no onion no garlic</t>
        </is>
      </c>
      <c r="C163" t="inlineStr">
        <is>
          <t>No</t>
        </is>
      </c>
      <c r="F163" t="inlineStr">
        <is>
          <t>Jain / no onion-garlic; CURRYiT contains onion &amp; garlic</t>
        </is>
      </c>
      <c r="G163" t="inlineStr">
        <is>
          <t>Generic</t>
        </is>
      </c>
      <c r="H163" t="inlineStr">
        <is>
          <t>High / Commercial</t>
        </is>
      </c>
    </row>
    <row r="164">
      <c r="A164" t="inlineStr">
        <is>
          <t>jain thai curry paste no onion no garlic</t>
        </is>
      </c>
      <c r="C164" t="inlineStr">
        <is>
          <t>No</t>
        </is>
      </c>
      <c r="F164" t="inlineStr">
        <is>
          <t>Jain / no onion-garlic; CURRYiT contains onion &amp; garlic</t>
        </is>
      </c>
      <c r="G164" t="inlineStr">
        <is>
          <t>Generic</t>
        </is>
      </c>
      <c r="H164" t="inlineStr">
        <is>
          <t>High / Commercial</t>
        </is>
      </c>
    </row>
    <row r="165">
      <c r="A165" t="inlineStr">
        <is>
          <t>jain thai green curry paste no onion no garlic</t>
        </is>
      </c>
      <c r="C165" t="inlineStr">
        <is>
          <t>No</t>
        </is>
      </c>
      <c r="F165" t="inlineStr">
        <is>
          <t>Jain / no onion-garlic; CURRYiT contains onion &amp; garlic</t>
        </is>
      </c>
      <c r="G165" t="inlineStr">
        <is>
          <t>Generic</t>
        </is>
      </c>
      <c r="H165" t="inlineStr">
        <is>
          <t>High / Commercial</t>
        </is>
      </c>
    </row>
    <row r="166">
      <c r="A166" t="inlineStr">
        <is>
          <t>kaju paste for cooking</t>
        </is>
      </c>
      <c r="C166" t="inlineStr">
        <is>
          <t>No</t>
        </is>
      </c>
      <c r="F166" t="inlineStr">
        <is>
          <t>Single-ingredient paste, not a curry</t>
        </is>
      </c>
      <c r="G166" t="inlineStr">
        <is>
          <t>Generic</t>
        </is>
      </c>
      <c r="H166" t="inlineStr">
        <is>
          <t>High / Commercial</t>
        </is>
      </c>
    </row>
    <row r="167">
      <c r="A167" t="inlineStr">
        <is>
          <t>kerala chicken curry masala</t>
        </is>
      </c>
      <c r="C167" t="inlineStr">
        <is>
          <t>No</t>
        </is>
      </c>
      <c r="F167" t="inlineStr">
        <is>
          <t>Other regional chicken masala – test only, not core</t>
        </is>
      </c>
      <c r="G167" t="inlineStr">
        <is>
          <t>Generic</t>
        </is>
      </c>
      <c r="H167" t="inlineStr">
        <is>
          <t>High / Commercial</t>
        </is>
      </c>
    </row>
    <row r="168">
      <c r="A168" t="inlineStr">
        <is>
          <t>kerala fish curry paste</t>
        </is>
      </c>
      <c r="C168" t="inlineStr">
        <is>
          <t>No</t>
        </is>
      </c>
      <c r="F168" t="inlineStr">
        <is>
          <t>Other dish / other CURRYiT product – route elsewhere</t>
        </is>
      </c>
      <c r="G168" t="inlineStr">
        <is>
          <t>Generic</t>
        </is>
      </c>
      <c r="H168" t="inlineStr">
        <is>
          <t>High / Commercial</t>
        </is>
      </c>
    </row>
    <row r="169">
      <c r="A169" t="inlineStr">
        <is>
          <t>khowsuey curry paste burma burma</t>
        </is>
      </c>
      <c r="C169" t="inlineStr">
        <is>
          <t>No</t>
        </is>
      </c>
      <c r="F169" t="inlineStr">
        <is>
          <t>Thai / foreign cuisine – wrong flavour for a Chettinad paste</t>
        </is>
      </c>
      <c r="G169" t="inlineStr">
        <is>
          <t>Generic</t>
        </is>
      </c>
      <c r="H169" t="inlineStr">
        <is>
          <t>High / Commercial</t>
        </is>
      </c>
    </row>
    <row r="170">
      <c r="A170" t="inlineStr">
        <is>
          <t>killer chicken gravy masala curry no 9211</t>
        </is>
      </c>
      <c r="C170" t="inlineStr">
        <is>
          <t>No</t>
        </is>
      </c>
      <c r="F170" t="inlineStr">
        <is>
          <t>Unclear brand/intent – verify before using</t>
        </is>
      </c>
      <c r="G170" t="inlineStr">
        <is>
          <t>Generic</t>
        </is>
      </c>
      <c r="H170" t="inlineStr">
        <is>
          <t>High / Commercial</t>
        </is>
      </c>
    </row>
    <row r="171">
      <c r="A171" t="inlineStr">
        <is>
          <t>lemon grass paste for cooking</t>
        </is>
      </c>
      <c r="C171" t="inlineStr">
        <is>
          <t>No</t>
        </is>
      </c>
      <c r="F171" t="inlineStr">
        <is>
          <t>Single-ingredient paste, not a curry</t>
        </is>
      </c>
      <c r="G171" t="inlineStr">
        <is>
          <t>Generic</t>
        </is>
      </c>
      <c r="H171" t="inlineStr">
        <is>
          <t>High / Commercial</t>
        </is>
      </c>
    </row>
    <row r="172">
      <c r="A172" t="inlineStr">
        <is>
          <t>moi soi green thai curry paste</t>
        </is>
      </c>
      <c r="C172" t="inlineStr">
        <is>
          <t>No</t>
        </is>
      </c>
      <c r="F172" t="inlineStr">
        <is>
          <t>Thai / foreign cuisine – wrong flavour for a Chettinad paste</t>
        </is>
      </c>
      <c r="G172" t="inlineStr">
        <is>
          <t>Generic</t>
        </is>
      </c>
      <c r="H172" t="inlineStr">
        <is>
          <t>High / Commercial</t>
        </is>
      </c>
    </row>
    <row r="173">
      <c r="A173" t="inlineStr">
        <is>
          <t>moi soi thai curry paste</t>
        </is>
      </c>
      <c r="C173" t="inlineStr">
        <is>
          <t>No</t>
        </is>
      </c>
      <c r="F173" t="inlineStr">
        <is>
          <t>Thai / foreign cuisine – wrong flavour for a Chettinad paste</t>
        </is>
      </c>
      <c r="G173" t="inlineStr">
        <is>
          <t>Generic</t>
        </is>
      </c>
      <c r="H173" t="inlineStr">
        <is>
          <t>High / Commercial</t>
        </is>
      </c>
    </row>
    <row r="174">
      <c r="A174" t="inlineStr">
        <is>
          <t>mother's recipe chicken curry masala</t>
        </is>
      </c>
      <c r="C174" t="inlineStr">
        <is>
          <t>Yes</t>
        </is>
      </c>
      <c r="D174" t="inlineStr">
        <is>
          <t>Competitor</t>
        </is>
      </c>
      <c r="E174" t="inlineStr">
        <is>
          <t>Chicken Curry Masala Brands</t>
        </is>
      </c>
      <c r="F174" t="inlineStr">
        <is>
          <t>Competitor brand, chicken curry masala</t>
        </is>
      </c>
      <c r="G174" t="inlineStr">
        <is>
          <t>Competitor</t>
        </is>
      </c>
      <c r="H174" t="inlineStr">
        <is>
          <t>High / Commercial</t>
        </is>
      </c>
    </row>
    <row r="175">
      <c r="A175" t="inlineStr">
        <is>
          <t>mothers recipe chicken chettinad masala</t>
        </is>
      </c>
      <c r="C175" t="inlineStr">
        <is>
          <t>Yes</t>
        </is>
      </c>
      <c r="D175" t="inlineStr">
        <is>
          <t>Competitor</t>
        </is>
      </c>
      <c r="E175" t="inlineStr">
        <is>
          <t>Chettinad Competitors</t>
        </is>
      </c>
      <c r="F175" t="inlineStr">
        <is>
          <t>Competitor brand + Chettinad</t>
        </is>
      </c>
      <c r="G175" t="inlineStr">
        <is>
          <t>Competitor</t>
        </is>
      </c>
      <c r="H175" t="inlineStr">
        <is>
          <t>High / Commercial</t>
        </is>
      </c>
    </row>
    <row r="176">
      <c r="A176" t="inlineStr">
        <is>
          <t>mustard paste for fish curry</t>
        </is>
      </c>
      <c r="C176" t="inlineStr">
        <is>
          <t>No</t>
        </is>
      </c>
      <c r="F176" t="inlineStr">
        <is>
          <t>Other dish / other CURRYiT product – route elsewhere</t>
        </is>
      </c>
      <c r="G176" t="inlineStr">
        <is>
          <t>Generic</t>
        </is>
      </c>
      <c r="H176" t="inlineStr">
        <is>
          <t>High / Commercial</t>
        </is>
      </c>
    </row>
    <row r="177">
      <c r="A177" t="inlineStr">
        <is>
          <t>namjai thai green curry paste</t>
        </is>
      </c>
      <c r="C177" t="inlineStr">
        <is>
          <t>No</t>
        </is>
      </c>
      <c r="F177" t="inlineStr">
        <is>
          <t>Thai / foreign cuisine – wrong flavour for a Chettinad paste</t>
        </is>
      </c>
      <c r="G177" t="inlineStr">
        <is>
          <t>Generic</t>
        </is>
      </c>
      <c r="H177" t="inlineStr">
        <is>
          <t>High / Commercial</t>
        </is>
      </c>
    </row>
    <row r="178">
      <c r="A178" t="inlineStr">
        <is>
          <t>namjhai green curry paste</t>
        </is>
      </c>
      <c r="C178" t="inlineStr">
        <is>
          <t>No</t>
        </is>
      </c>
      <c r="F178" t="inlineStr">
        <is>
          <t>Thai / foreign cuisine – wrong flavour for a Chettinad paste</t>
        </is>
      </c>
      <c r="G178" t="inlineStr">
        <is>
          <t>Generic</t>
        </is>
      </c>
      <c r="H178" t="inlineStr">
        <is>
          <t>High / Commercial</t>
        </is>
      </c>
    </row>
    <row r="179">
      <c r="A179" t="inlineStr">
        <is>
          <t>paste hing for cooking</t>
        </is>
      </c>
      <c r="C179" t="inlineStr">
        <is>
          <t>No</t>
        </is>
      </c>
      <c r="F179" t="inlineStr">
        <is>
          <t>Single-ingredient paste, not a curry</t>
        </is>
      </c>
      <c r="G179" t="inlineStr">
        <is>
          <t>Generic</t>
        </is>
      </c>
      <c r="H179" t="inlineStr">
        <is>
          <t>High / Commercial</t>
        </is>
      </c>
    </row>
    <row r="180">
      <c r="A180" t="inlineStr">
        <is>
          <t>pure &amp; sure organic red thai curry paste</t>
        </is>
      </c>
      <c r="C180" t="inlineStr">
        <is>
          <t>No</t>
        </is>
      </c>
      <c r="F180" t="inlineStr">
        <is>
          <t>Pack size / diet / unrelated product</t>
        </is>
      </c>
      <c r="G180" t="inlineStr">
        <is>
          <t>Generic</t>
        </is>
      </c>
      <c r="H180" t="inlineStr">
        <is>
          <t>High / Commercial</t>
        </is>
      </c>
    </row>
    <row r="181">
      <c r="A181" t="inlineStr">
        <is>
          <t>pure and sure thai curry paste</t>
        </is>
      </c>
      <c r="C181" t="inlineStr">
        <is>
          <t>No</t>
        </is>
      </c>
      <c r="F181" t="inlineStr">
        <is>
          <t>Thai / foreign cuisine – wrong flavour for a Chettinad paste</t>
        </is>
      </c>
      <c r="G181" t="inlineStr">
        <is>
          <t>Generic</t>
        </is>
      </c>
      <c r="H181" t="inlineStr">
        <is>
          <t>High / Commercial</t>
        </is>
      </c>
    </row>
    <row r="182">
      <c r="A182" t="inlineStr">
        <is>
          <t>ready to cook curry mix</t>
        </is>
      </c>
      <c r="C182" t="inlineStr">
        <is>
          <t>Yes</t>
        </is>
      </c>
      <c r="D182" t="inlineStr">
        <is>
          <t>Generic</t>
        </is>
      </c>
      <c r="E182" t="inlineStr">
        <is>
          <t>Curry Paste / Ready to Cook</t>
        </is>
      </c>
      <c r="F182" t="inlineStr">
        <is>
          <t>Format match (paste / ready-to-cook)</t>
        </is>
      </c>
      <c r="G182" t="inlineStr">
        <is>
          <t>Generic</t>
        </is>
      </c>
      <c r="H182" t="inlineStr">
        <is>
          <t>High / Commercial</t>
        </is>
      </c>
    </row>
    <row r="183">
      <c r="A183" t="inlineStr">
        <is>
          <t>ready to cook kerala curry</t>
        </is>
      </c>
      <c r="C183" t="inlineStr">
        <is>
          <t>No</t>
        </is>
      </c>
      <c r="F183" t="inlineStr">
        <is>
          <t>Other dish / other CURRYiT product – route elsewhere</t>
        </is>
      </c>
      <c r="G183" t="inlineStr">
        <is>
          <t>Generic</t>
        </is>
      </c>
      <c r="H183" t="inlineStr">
        <is>
          <t>High / Commercial</t>
        </is>
      </c>
    </row>
    <row r="184">
      <c r="A184" t="inlineStr">
        <is>
          <t>ready to cook thai curry</t>
        </is>
      </c>
      <c r="C184" t="inlineStr">
        <is>
          <t>No</t>
        </is>
      </c>
      <c r="F184" t="inlineStr">
        <is>
          <t>Thai / foreign cuisine – wrong flavour for a Chettinad paste</t>
        </is>
      </c>
      <c r="G184" t="inlineStr">
        <is>
          <t>Generic</t>
        </is>
      </c>
      <c r="H184" t="inlineStr">
        <is>
          <t>High / Commercial</t>
        </is>
      </c>
    </row>
    <row r="185">
      <c r="A185" t="inlineStr">
        <is>
          <t>real thai original thai cuisine red curry paste</t>
        </is>
      </c>
      <c r="C185" t="inlineStr">
        <is>
          <t>No</t>
        </is>
      </c>
      <c r="F185" t="inlineStr">
        <is>
          <t>Thai / foreign cuisine – wrong flavour for a Chettinad paste</t>
        </is>
      </c>
      <c r="G185" t="inlineStr">
        <is>
          <t>Generic</t>
        </is>
      </c>
      <c r="H185" t="inlineStr">
        <is>
          <t>High / Commercial</t>
        </is>
      </c>
    </row>
    <row r="186">
      <c r="A186" t="inlineStr">
        <is>
          <t>real thai red curry paste amazon now</t>
        </is>
      </c>
      <c r="C186" t="inlineStr">
        <is>
          <t>No</t>
        </is>
      </c>
      <c r="F186" t="inlineStr">
        <is>
          <t>Thai / foreign cuisine – wrong flavour for a Chettinad paste</t>
        </is>
      </c>
      <c r="G186" t="inlineStr">
        <is>
          <t>Generic</t>
        </is>
      </c>
      <c r="H186" t="inlineStr">
        <is>
          <t>High / Commercial</t>
        </is>
      </c>
    </row>
    <row r="187">
      <c r="A187" t="inlineStr">
        <is>
          <t>red chilli paste for cooking</t>
        </is>
      </c>
      <c r="C187" t="inlineStr">
        <is>
          <t>No</t>
        </is>
      </c>
      <c r="F187" t="inlineStr">
        <is>
          <t>Single-ingredient paste, not a curry</t>
        </is>
      </c>
      <c r="G187" t="inlineStr">
        <is>
          <t>Generic</t>
        </is>
      </c>
      <c r="H187" t="inlineStr">
        <is>
          <t>High / Commercial</t>
        </is>
      </c>
    </row>
    <row r="188">
      <c r="A188" t="inlineStr">
        <is>
          <t>roasted coconut chicken curry masala</t>
        </is>
      </c>
      <c r="C188" t="inlineStr">
        <is>
          <t>No</t>
        </is>
      </c>
      <c r="F188" t="inlineStr">
        <is>
          <t>Other regional chicken masala – test only, not core</t>
        </is>
      </c>
      <c r="G188" t="inlineStr">
        <is>
          <t>Generic</t>
        </is>
      </c>
      <c r="H188" t="inlineStr">
        <is>
          <t>High / Commercial</t>
        </is>
      </c>
    </row>
    <row r="189">
      <c r="A189" t="inlineStr">
        <is>
          <t>saffola masala oats chicken curry flavour</t>
        </is>
      </c>
      <c r="C189" t="inlineStr">
        <is>
          <t>No</t>
        </is>
      </c>
      <c r="F189" t="inlineStr">
        <is>
          <t>Pack size / diet / unrelated product</t>
        </is>
      </c>
      <c r="G189" t="inlineStr">
        <is>
          <t>Competitor</t>
        </is>
      </c>
      <c r="H189" t="inlineStr">
        <is>
          <t>High / Commercial</t>
        </is>
      </c>
    </row>
    <row r="190">
      <c r="A190" t="inlineStr">
        <is>
          <t>sakthi chettinad chicken masala powder</t>
        </is>
      </c>
      <c r="C190" t="inlineStr">
        <is>
          <t>Yes</t>
        </is>
      </c>
      <c r="D190" t="inlineStr">
        <is>
          <t>Competitor</t>
        </is>
      </c>
      <c r="E190" t="inlineStr">
        <is>
          <t>Chettinad Competitors</t>
        </is>
      </c>
      <c r="F190" t="inlineStr">
        <is>
          <t>Competitor brand + Chettinad</t>
        </is>
      </c>
      <c r="G190" t="inlineStr">
        <is>
          <t>Generic</t>
        </is>
      </c>
      <c r="H190" t="inlineStr">
        <is>
          <t>High / Commercial</t>
        </is>
      </c>
    </row>
    <row r="191">
      <c r="A191" t="inlineStr">
        <is>
          <t>savji curry paste</t>
        </is>
      </c>
      <c r="C191" t="inlineStr">
        <is>
          <t>No</t>
        </is>
      </c>
      <c r="F191" t="inlineStr">
        <is>
          <t>Pack size / diet / unrelated product</t>
        </is>
      </c>
      <c r="G191" t="inlineStr">
        <is>
          <t>Generic</t>
        </is>
      </c>
      <c r="H191" t="inlineStr">
        <is>
          <t>High / Commercial</t>
        </is>
      </c>
    </row>
    <row r="192">
      <c r="A192" t="inlineStr">
        <is>
          <t>special chicken curry masala</t>
        </is>
      </c>
      <c r="C192" t="inlineStr">
        <is>
          <t>Yes</t>
        </is>
      </c>
      <c r="D192" t="inlineStr">
        <is>
          <t>Generic</t>
        </is>
      </c>
      <c r="E192" t="inlineStr">
        <is>
          <t>Chicken Curry Masala</t>
        </is>
      </c>
      <c r="F192" t="inlineStr">
        <is>
          <t>Same cooking need (chicken curry)</t>
        </is>
      </c>
      <c r="G192" t="inlineStr">
        <is>
          <t>Generic</t>
        </is>
      </c>
      <c r="H192" t="inlineStr">
        <is>
          <t>High / Commercial</t>
        </is>
      </c>
    </row>
    <row r="193">
      <c r="A193" t="inlineStr">
        <is>
          <t>spiced right chettinad masala</t>
        </is>
      </c>
      <c r="C193" t="inlineStr">
        <is>
          <t>Yes</t>
        </is>
      </c>
      <c r="D193" t="inlineStr">
        <is>
          <t>Competitor</t>
        </is>
      </c>
      <c r="E193" t="inlineStr">
        <is>
          <t>Chettinad Competitors</t>
        </is>
      </c>
      <c r="F193" t="inlineStr">
        <is>
          <t>Competitor brand + Chettinad</t>
        </is>
      </c>
      <c r="G193" t="inlineStr">
        <is>
          <t>Generic</t>
        </is>
      </c>
      <c r="H193" t="inlineStr">
        <is>
          <t>High / Commercial</t>
        </is>
      </c>
    </row>
    <row r="194">
      <c r="A194" t="inlineStr">
        <is>
          <t>srr chicken curry masala</t>
        </is>
      </c>
      <c r="C194" t="inlineStr">
        <is>
          <t>Yes</t>
        </is>
      </c>
      <c r="D194" t="inlineStr">
        <is>
          <t>Competitor</t>
        </is>
      </c>
      <c r="E194" t="inlineStr">
        <is>
          <t>Chicken Curry Masala Brands</t>
        </is>
      </c>
      <c r="F194" t="inlineStr">
        <is>
          <t>Competitor brand, chicken curry masala</t>
        </is>
      </c>
      <c r="G194" t="inlineStr">
        <is>
          <t>Generic</t>
        </is>
      </c>
      <c r="H194" t="inlineStr">
        <is>
          <t>High / Commercial</t>
        </is>
      </c>
    </row>
    <row r="195">
      <c r="A195" t="inlineStr">
        <is>
          <t>swadisht curry paste</t>
        </is>
      </c>
      <c r="C195" t="inlineStr">
        <is>
          <t>No</t>
        </is>
      </c>
      <c r="F195" t="inlineStr">
        <is>
          <t>Pack size / diet / unrelated product</t>
        </is>
      </c>
      <c r="G195" t="inlineStr">
        <is>
          <t>Generic</t>
        </is>
      </c>
      <c r="H195" t="inlineStr">
        <is>
          <t>High / Commercial</t>
        </is>
      </c>
    </row>
    <row r="196">
      <c r="A196" t="inlineStr">
        <is>
          <t>sweet karam coffee curry leaves paste</t>
        </is>
      </c>
      <c r="C196" t="inlineStr">
        <is>
          <t>No</t>
        </is>
      </c>
      <c r="F196" t="inlineStr">
        <is>
          <t>Pack size / diet / unrelated product</t>
        </is>
      </c>
      <c r="G196" t="inlineStr">
        <is>
          <t>Generic</t>
        </is>
      </c>
      <c r="H196" t="inlineStr">
        <is>
          <t>High / Commercial</t>
        </is>
      </c>
    </row>
    <row r="197">
      <c r="A197" t="inlineStr">
        <is>
          <t>tamarind paste for cooking 1 kg</t>
        </is>
      </c>
      <c r="C197" t="inlineStr">
        <is>
          <t>No</t>
        </is>
      </c>
      <c r="F197" t="inlineStr">
        <is>
          <t>Pack size / diet / unrelated product</t>
        </is>
      </c>
      <c r="G197" t="inlineStr">
        <is>
          <t>Generic</t>
        </is>
      </c>
      <c r="H197" t="inlineStr">
        <is>
          <t>High / Commercial</t>
        </is>
      </c>
    </row>
    <row r="198">
      <c r="A198" t="inlineStr">
        <is>
          <t>tata sampann chicken curry masala</t>
        </is>
      </c>
      <c r="C198" t="inlineStr">
        <is>
          <t>Yes</t>
        </is>
      </c>
      <c r="D198" t="inlineStr">
        <is>
          <t>Competitor</t>
        </is>
      </c>
      <c r="E198" t="inlineStr">
        <is>
          <t>Chicken Curry Masala Brands</t>
        </is>
      </c>
      <c r="F198" t="inlineStr">
        <is>
          <t>Competitor brand, chicken curry masala</t>
        </is>
      </c>
      <c r="G198" t="inlineStr">
        <is>
          <t>Competitor</t>
        </is>
      </c>
      <c r="H198" t="inlineStr">
        <is>
          <t>High / Commercial</t>
        </is>
      </c>
    </row>
    <row r="199">
      <c r="A199" t="inlineStr">
        <is>
          <t>thai curry paste imported</t>
        </is>
      </c>
      <c r="C199" t="inlineStr">
        <is>
          <t>No</t>
        </is>
      </c>
      <c r="F199" t="inlineStr">
        <is>
          <t>Thai / foreign cuisine – wrong flavour for a Chettinad paste</t>
        </is>
      </c>
      <c r="G199" t="inlineStr">
        <is>
          <t>Generic</t>
        </is>
      </c>
      <c r="H199" t="inlineStr">
        <is>
          <t>High / Commercial</t>
        </is>
      </c>
    </row>
    <row r="200">
      <c r="A200" t="inlineStr">
        <is>
          <t>thai curry paste no onion no garlic</t>
        </is>
      </c>
      <c r="C200" t="inlineStr">
        <is>
          <t>No</t>
        </is>
      </c>
      <c r="F200" t="inlineStr">
        <is>
          <t>Jain / no onion-garlic; CURRYiT contains onion &amp; garlic</t>
        </is>
      </c>
      <c r="G200" t="inlineStr">
        <is>
          <t>Generic</t>
        </is>
      </c>
      <c r="H200" t="inlineStr">
        <is>
          <t>High / Commercial</t>
        </is>
      </c>
    </row>
    <row r="201">
      <c r="A201" t="inlineStr">
        <is>
          <t>thai curry paste organic</t>
        </is>
      </c>
      <c r="C201" t="inlineStr">
        <is>
          <t>No</t>
        </is>
      </c>
      <c r="F201" t="inlineStr">
        <is>
          <t>Pack size / diet / unrelated product</t>
        </is>
      </c>
      <c r="G201" t="inlineStr">
        <is>
          <t>Generic</t>
        </is>
      </c>
      <c r="H201" t="inlineStr">
        <is>
          <t>High / Commercial</t>
        </is>
      </c>
    </row>
    <row r="202">
      <c r="A202" t="inlineStr">
        <is>
          <t>thai green curry paste amazon now</t>
        </is>
      </c>
      <c r="C202" t="inlineStr">
        <is>
          <t>No</t>
        </is>
      </c>
      <c r="F202" t="inlineStr">
        <is>
          <t>Thai / foreign cuisine – wrong flavour for a Chettinad paste</t>
        </is>
      </c>
      <c r="G202" t="inlineStr">
        <is>
          <t>Generic</t>
        </is>
      </c>
      <c r="H202" t="inlineStr">
        <is>
          <t>High / Commercial</t>
        </is>
      </c>
    </row>
    <row r="203">
      <c r="A203" t="inlineStr">
        <is>
          <t>thai red curry paste non veg</t>
        </is>
      </c>
      <c r="C203" t="inlineStr">
        <is>
          <t>No</t>
        </is>
      </c>
      <c r="F203" t="inlineStr">
        <is>
          <t>Thai / foreign cuisine – wrong flavour for a Chettinad paste</t>
        </is>
      </c>
      <c r="G203" t="inlineStr">
        <is>
          <t>Generic</t>
        </is>
      </c>
      <c r="H203" t="inlineStr">
        <is>
          <t>High / Commercial</t>
        </is>
      </c>
    </row>
    <row r="204">
      <c r="A204" t="inlineStr">
        <is>
          <t>urban platter red thai curry paste</t>
        </is>
      </c>
      <c r="C204" t="inlineStr">
        <is>
          <t>No</t>
        </is>
      </c>
      <c r="F204" t="inlineStr">
        <is>
          <t>Thai / foreign cuisine – wrong flavour for a Chettinad paste</t>
        </is>
      </c>
      <c r="G204" t="inlineStr">
        <is>
          <t>Generic</t>
        </is>
      </c>
      <c r="H204" t="inlineStr">
        <is>
          <t>High / Commercial</t>
        </is>
      </c>
    </row>
    <row r="205">
      <c r="A205" t="inlineStr">
        <is>
          <t>urban platter thai green curry paste</t>
        </is>
      </c>
      <c r="C205" t="inlineStr">
        <is>
          <t>No</t>
        </is>
      </c>
      <c r="F205" t="inlineStr">
        <is>
          <t>Thai / foreign cuisine – wrong flavour for a Chettinad paste</t>
        </is>
      </c>
      <c r="G205" t="inlineStr">
        <is>
          <t>Generic</t>
        </is>
      </c>
      <c r="H205" t="inlineStr">
        <is>
          <t>High / Commercial</t>
        </is>
      </c>
    </row>
    <row r="206">
      <c r="A206" t="inlineStr">
        <is>
          <t>veg thai curry red paste</t>
        </is>
      </c>
      <c r="C206" t="inlineStr">
        <is>
          <t>No</t>
        </is>
      </c>
      <c r="F206" t="inlineStr">
        <is>
          <t>Thai / foreign cuisine – wrong flavour for a Chettinad paste</t>
        </is>
      </c>
      <c r="G206" t="inlineStr">
        <is>
          <t>Generic</t>
        </is>
      </c>
      <c r="H206" t="inlineStr">
        <is>
          <t>High / Commercial</t>
        </is>
      </c>
    </row>
    <row r="207">
      <c r="A207" t="inlineStr">
        <is>
          <t>wok n roll cooking paste</t>
        </is>
      </c>
      <c r="C207" t="inlineStr">
        <is>
          <t>No</t>
        </is>
      </c>
      <c r="F207" t="inlineStr">
        <is>
          <t>Pack size / diet / unrelated product</t>
        </is>
      </c>
      <c r="G207" t="inlineStr">
        <is>
          <t>Generic</t>
        </is>
      </c>
      <c r="H207" t="inlineStr">
        <is>
          <t>High / Commercial</t>
        </is>
      </c>
    </row>
    <row r="208">
      <c r="A208" t="inlineStr">
        <is>
          <t>yerchi coorg pork curry paste</t>
        </is>
      </c>
      <c r="C208" t="inlineStr">
        <is>
          <t>No</t>
        </is>
      </c>
      <c r="F208" t="inlineStr">
        <is>
          <t>Pack size / diet / unrelated product</t>
        </is>
      </c>
      <c r="G208" t="inlineStr">
        <is>
          <t>Generic</t>
        </is>
      </c>
      <c r="H208" t="inlineStr">
        <is>
          <t>High / Commercial</t>
        </is>
      </c>
    </row>
    <row r="209">
      <c r="A209" t="inlineStr">
        <is>
          <t>curryit</t>
        </is>
      </c>
      <c r="B209" t="n">
        <v>1300</v>
      </c>
      <c r="D209" t="inlineStr">
        <is>
          <t>Brand</t>
        </is>
      </c>
      <c r="E209" t="inlineStr">
        <is>
          <t xml:space="preserve">Brand </t>
        </is>
      </c>
      <c r="F209" t="inlineStr">
        <is>
          <t>Brand keyword – directly searches for CURRYiT</t>
        </is>
      </c>
      <c r="G209" t="inlineStr">
        <is>
          <t>Brand</t>
        </is>
      </c>
      <c r="H209" t="inlineStr">
        <is>
          <t>Generic / Mixed</t>
        </is>
      </c>
    </row>
    <row r="210">
      <c r="A210" t="inlineStr">
        <is>
          <t>Curryit paste</t>
        </is>
      </c>
      <c r="D210" t="inlineStr">
        <is>
          <t>Brand</t>
        </is>
      </c>
      <c r="E210" t="inlineStr">
        <is>
          <t xml:space="preserve">Brand </t>
        </is>
      </c>
      <c r="F210" t="inlineStr">
        <is>
          <t>Brand keyword – directly searches for CURRYiT paste</t>
        </is>
      </c>
      <c r="G210" t="inlineStr">
        <is>
          <t>Brand</t>
        </is>
      </c>
      <c r="H210" t="inlineStr">
        <is>
          <t>High / Commercial</t>
        </is>
      </c>
    </row>
    <row r="211">
      <c r="A211" t="inlineStr">
        <is>
          <t>curry it</t>
        </is>
      </c>
      <c r="B211" t="n">
        <v>2400</v>
      </c>
      <c r="D211" t="inlineStr">
        <is>
          <t>Brand</t>
        </is>
      </c>
      <c r="E211" t="inlineStr">
        <is>
          <t xml:space="preserve">Brand </t>
        </is>
      </c>
      <c r="F211" t="inlineStr">
        <is>
          <t>Brand keyword – alternate spelling of CURRYiT</t>
        </is>
      </c>
      <c r="G211" t="inlineStr">
        <is>
          <t>Brand</t>
        </is>
      </c>
      <c r="H211" t="inlineStr">
        <is>
          <t>Generic / Mixed</t>
        </is>
      </c>
    </row>
    <row r="212">
      <c r="A212" t="inlineStr">
        <is>
          <t>best chicken masala</t>
        </is>
      </c>
      <c r="B212" t="n">
        <v>720</v>
      </c>
      <c r="G212" t="inlineStr">
        <is>
          <t>Generic</t>
        </is>
      </c>
      <c r="H212" t="inlineStr">
        <is>
          <t>High / Commercial</t>
        </is>
      </c>
    </row>
    <row r="213">
      <c r="A213" t="inlineStr">
        <is>
          <t>curry paste for chicken</t>
        </is>
      </c>
      <c r="B213" t="n">
        <v>140</v>
      </c>
      <c r="G213" t="inlineStr">
        <is>
          <t>Generic</t>
        </is>
      </c>
      <c r="H213" t="inlineStr">
        <is>
          <t>High / Commercial</t>
        </is>
      </c>
    </row>
    <row r="214">
      <c r="A214" t="inlineStr">
        <is>
          <t>indian curry sauce</t>
        </is>
      </c>
      <c r="B214" t="n">
        <v>110</v>
      </c>
      <c r="G214" t="inlineStr">
        <is>
          <t>Generic</t>
        </is>
      </c>
      <c r="H214" t="inlineStr">
        <is>
          <t>High / Commercial</t>
        </is>
      </c>
    </row>
    <row r="215">
      <c r="A215" t="inlineStr">
        <is>
          <t>instant chicken biryani</t>
        </is>
      </c>
      <c r="B215" t="n">
        <v>110</v>
      </c>
      <c r="G215" t="inlineStr">
        <is>
          <t>Generic</t>
        </is>
      </c>
      <c r="H215" t="inlineStr">
        <is>
          <t>High / Commercial</t>
        </is>
      </c>
    </row>
    <row r="216">
      <c r="A216" t="inlineStr">
        <is>
          <t>instant chicken curry</t>
        </is>
      </c>
      <c r="B216" t="n">
        <v>110</v>
      </c>
      <c r="G216" t="inlineStr">
        <is>
          <t>Generic</t>
        </is>
      </c>
      <c r="H216" t="inlineStr">
        <is>
          <t>High / Commercial</t>
        </is>
      </c>
    </row>
    <row r="217">
      <c r="A217" t="inlineStr">
        <is>
          <t>instant chicken masala</t>
        </is>
      </c>
      <c r="B217" t="n">
        <v>90</v>
      </c>
      <c r="G217" t="inlineStr">
        <is>
          <t>Generic</t>
        </is>
      </c>
      <c r="H217" t="inlineStr">
        <is>
          <t>High / Commercial</t>
        </is>
      </c>
    </row>
    <row r="218">
      <c r="A218" t="inlineStr">
        <is>
          <t>chicken curry mix</t>
        </is>
      </c>
      <c r="B218" t="n">
        <v>70</v>
      </c>
      <c r="G218" t="inlineStr">
        <is>
          <t>Generic</t>
        </is>
      </c>
      <c r="H218" t="inlineStr">
        <is>
          <t>High / Commercial</t>
        </is>
      </c>
    </row>
    <row r="219">
      <c r="A219" t="inlineStr">
        <is>
          <t>best chicken curry masala</t>
        </is>
      </c>
      <c r="B219" t="n">
        <v>50</v>
      </c>
      <c r="G219" t="inlineStr">
        <is>
          <t>Generic</t>
        </is>
      </c>
      <c r="H219" t="inlineStr">
        <is>
          <t>High / Commercial</t>
        </is>
      </c>
    </row>
    <row r="220">
      <c r="A220" t="inlineStr">
        <is>
          <t>chicken masala online</t>
        </is>
      </c>
      <c r="B220" t="n">
        <v>50</v>
      </c>
      <c r="G220" t="inlineStr">
        <is>
          <t>Generic</t>
        </is>
      </c>
      <c r="H220" t="inlineStr">
        <is>
          <t>High / Commercial</t>
        </is>
      </c>
    </row>
    <row r="221">
      <c r="A221" t="inlineStr">
        <is>
          <t>instant butter chicken</t>
        </is>
      </c>
      <c r="B221" t="n">
        <v>40</v>
      </c>
      <c r="G221" t="inlineStr">
        <is>
          <t>Generic</t>
        </is>
      </c>
      <c r="H221" t="inlineStr">
        <is>
          <t>High / Commercial</t>
        </is>
      </c>
    </row>
    <row r="222">
      <c r="A222" t="inlineStr">
        <is>
          <t>chicken tikka masala online</t>
        </is>
      </c>
      <c r="B222" t="n">
        <v>30</v>
      </c>
      <c r="G222" t="inlineStr">
        <is>
          <t>Generic</t>
        </is>
      </c>
      <c r="H222" t="inlineStr">
        <is>
          <t>High / Commercial</t>
        </is>
      </c>
    </row>
    <row r="223">
      <c r="A223" t="inlineStr">
        <is>
          <t>ready made curry paste</t>
        </is>
      </c>
      <c r="B223" t="n">
        <v>30</v>
      </c>
      <c r="G223" t="inlineStr">
        <is>
          <t>Generic</t>
        </is>
      </c>
      <c r="H223" t="inlineStr">
        <is>
          <t>High / Commercial</t>
        </is>
      </c>
    </row>
    <row r="224">
      <c r="A224" t="inlineStr">
        <is>
          <t>ready to cook butter chicken</t>
        </is>
      </c>
      <c r="B224" t="n">
        <v>30</v>
      </c>
      <c r="G224" t="inlineStr">
        <is>
          <t>Generic</t>
        </is>
      </c>
      <c r="H224" t="inlineStr">
        <is>
          <t>High / Commercial</t>
        </is>
      </c>
    </row>
    <row r="225">
      <c r="A225" t="inlineStr">
        <is>
          <t>butter chicken masala online</t>
        </is>
      </c>
      <c r="B225" t="n">
        <v>20</v>
      </c>
      <c r="G225" t="inlineStr">
        <is>
          <t>Generic</t>
        </is>
      </c>
      <c r="H225" t="inlineStr">
        <is>
          <t>High / Commercial</t>
        </is>
      </c>
    </row>
    <row r="226">
      <c r="A226" t="inlineStr">
        <is>
          <t>curry paste near me</t>
        </is>
      </c>
      <c r="B226" t="n">
        <v>20</v>
      </c>
      <c r="G226" t="inlineStr">
        <is>
          <t>Generic</t>
        </is>
      </c>
      <c r="H226" t="inlineStr">
        <is>
          <t>High / Commercial</t>
        </is>
      </c>
    </row>
    <row r="227">
      <c r="A227" t="inlineStr">
        <is>
          <t>ready to cook chicken tikka</t>
        </is>
      </c>
      <c r="B227" t="n">
        <v>20</v>
      </c>
      <c r="G227" t="inlineStr">
        <is>
          <t>Generic</t>
        </is>
      </c>
      <c r="H227" t="inlineStr">
        <is>
          <t>High / Commercial</t>
        </is>
      </c>
    </row>
    <row r="228">
      <c r="A228" t="inlineStr">
        <is>
          <t>best chicken curry sauce</t>
        </is>
      </c>
      <c r="B228" t="n">
        <v>10</v>
      </c>
      <c r="G228" t="inlineStr">
        <is>
          <t>Generic</t>
        </is>
      </c>
      <c r="H228" t="inlineStr">
        <is>
          <t>High / Commercial</t>
        </is>
      </c>
    </row>
    <row r="229">
      <c r="A229" t="inlineStr">
        <is>
          <t>best indian curry paste</t>
        </is>
      </c>
      <c r="B229" t="n">
        <v>10</v>
      </c>
      <c r="G229" t="inlineStr">
        <is>
          <t>Generic</t>
        </is>
      </c>
      <c r="H229" t="inlineStr">
        <is>
          <t>High / Commercial</t>
        </is>
      </c>
    </row>
    <row r="230">
      <c r="A230" t="inlineStr">
        <is>
          <t>butter chicken curry sauce</t>
        </is>
      </c>
      <c r="B230" t="n">
        <v>10</v>
      </c>
      <c r="G230" t="inlineStr">
        <is>
          <t>Generic</t>
        </is>
      </c>
      <c r="H230" t="inlineStr">
        <is>
          <t>High / Commercial</t>
        </is>
      </c>
    </row>
    <row r="231">
      <c r="A231" t="inlineStr">
        <is>
          <t>butter chicken sauce online</t>
        </is>
      </c>
      <c r="B231" t="n">
        <v>10</v>
      </c>
      <c r="G231" t="inlineStr">
        <is>
          <t>Generic</t>
        </is>
      </c>
      <c r="H231" t="inlineStr">
        <is>
          <t>High / Commercial</t>
        </is>
      </c>
    </row>
    <row r="232">
      <c r="A232" t="inlineStr">
        <is>
          <t>buy curry paste online</t>
        </is>
      </c>
      <c r="B232" t="n">
        <v>10</v>
      </c>
      <c r="G232" t="inlineStr">
        <is>
          <t>Generic</t>
        </is>
      </c>
      <c r="H232" t="inlineStr">
        <is>
          <t>High / Commercial</t>
        </is>
      </c>
    </row>
    <row r="233">
      <c r="A233" t="inlineStr">
        <is>
          <t>chicken biryani masala online</t>
        </is>
      </c>
      <c r="B233" t="n">
        <v>10</v>
      </c>
      <c r="G233" t="inlineStr">
        <is>
          <t>Generic</t>
        </is>
      </c>
      <c r="H233" t="inlineStr">
        <is>
          <t>High / Commercial</t>
        </is>
      </c>
    </row>
    <row r="234">
      <c r="A234" t="inlineStr">
        <is>
          <t>chicken curry kit</t>
        </is>
      </c>
      <c r="B234" t="n">
        <v>10</v>
      </c>
      <c r="G234" t="inlineStr">
        <is>
          <t>Generic</t>
        </is>
      </c>
      <c r="H234" t="inlineStr">
        <is>
          <t>Generic / Mixed</t>
        </is>
      </c>
    </row>
    <row r="235">
      <c r="A235" t="inlineStr">
        <is>
          <t>chicken curry seasoning</t>
        </is>
      </c>
      <c r="B235" t="n">
        <v>10</v>
      </c>
      <c r="G235" t="inlineStr">
        <is>
          <t>Generic</t>
        </is>
      </c>
      <c r="H235" t="inlineStr">
        <is>
          <t>Generic / Mixed</t>
        </is>
      </c>
    </row>
    <row r="236">
      <c r="A236" t="inlineStr">
        <is>
          <t>indian chicken curry paste</t>
        </is>
      </c>
      <c r="B236" t="n">
        <v>10</v>
      </c>
      <c r="G236" t="inlineStr">
        <is>
          <t>Generic</t>
        </is>
      </c>
      <c r="H236" t="inlineStr">
        <is>
          <t>High / Commercial</t>
        </is>
      </c>
    </row>
    <row r="237">
      <c r="A237" t="inlineStr">
        <is>
          <t>indian chicken curry sauce</t>
        </is>
      </c>
      <c r="B237" t="n">
        <v>10</v>
      </c>
      <c r="G237" t="inlineStr">
        <is>
          <t>Generic</t>
        </is>
      </c>
      <c r="H237" t="inlineStr">
        <is>
          <t>High / Commercial</t>
        </is>
      </c>
    </row>
    <row r="238">
      <c r="A238" t="inlineStr">
        <is>
          <t>indian masala paste</t>
        </is>
      </c>
      <c r="B238" t="n">
        <v>10</v>
      </c>
      <c r="G238" t="inlineStr">
        <is>
          <t>Generic</t>
        </is>
      </c>
      <c r="H238" t="inlineStr">
        <is>
          <t>High / Commercial</t>
        </is>
      </c>
    </row>
    <row r="239">
      <c r="A239" t="inlineStr">
        <is>
          <t>instant chicken curry paste</t>
        </is>
      </c>
      <c r="B239" t="n">
        <v>10</v>
      </c>
      <c r="G239" t="inlineStr">
        <is>
          <t>Generic</t>
        </is>
      </c>
      <c r="H239" t="inlineStr">
        <is>
          <t>High / Commercial</t>
        </is>
      </c>
    </row>
    <row r="240">
      <c r="A240" t="inlineStr">
        <is>
          <t>ready made butter chicken</t>
        </is>
      </c>
      <c r="B240" t="n">
        <v>10</v>
      </c>
      <c r="G240" t="inlineStr">
        <is>
          <t>Generic</t>
        </is>
      </c>
      <c r="H240" t="inlineStr">
        <is>
          <t>High / Commercial</t>
        </is>
      </c>
    </row>
    <row r="241">
      <c r="A241" t="inlineStr">
        <is>
          <t>ready made chicken tikka</t>
        </is>
      </c>
      <c r="B241" t="n">
        <v>10</v>
      </c>
      <c r="G241" t="inlineStr">
        <is>
          <t>Generic</t>
        </is>
      </c>
      <c r="H241" t="inlineStr">
        <is>
          <t>High / Commercial</t>
        </is>
      </c>
    </row>
    <row r="242">
      <c r="A242" t="inlineStr">
        <is>
          <t>ready made indian curry</t>
        </is>
      </c>
      <c r="B242" t="n">
        <v>10</v>
      </c>
      <c r="G242" t="inlineStr">
        <is>
          <t>Generic</t>
        </is>
      </c>
      <c r="H242" t="inlineStr">
        <is>
          <t>High / Commercial</t>
        </is>
      </c>
    </row>
    <row r="243">
      <c r="A243" t="inlineStr">
        <is>
          <t>ready to make chicken curry</t>
        </is>
      </c>
      <c r="B243" t="n">
        <v>10</v>
      </c>
      <c r="G243" t="inlineStr">
        <is>
          <t>Generic</t>
        </is>
      </c>
      <c r="H243" t="inlineStr">
        <is>
          <t>Generic / Mixed</t>
        </is>
      </c>
    </row>
  </sheetData>
  <autoFilter ref="A1:H243"/>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206"/>
  <sheetViews>
    <sheetView workbookViewId="0">
      <selection activeCell="G9" sqref="G9"/>
    </sheetView>
  </sheetViews>
  <sheetFormatPr baseColWidth="8" defaultRowHeight="14.4"/>
  <cols>
    <col width="41.21875" customWidth="1" min="1" max="1"/>
  </cols>
  <sheetData>
    <row r="1">
      <c r="A1" s="23" t="inlineStr">
        <is>
          <t>Keyword</t>
        </is>
      </c>
      <c r="B1" s="23" t="inlineStr">
        <is>
          <t>Avg. monthly searches</t>
        </is>
      </c>
      <c r="C1" s="23" t="inlineStr">
        <is>
          <t>Relevant</t>
        </is>
      </c>
      <c r="D1" s="23" t="inlineStr">
        <is>
          <t>Broader/Campaign</t>
        </is>
      </c>
      <c r="E1" s="23" t="inlineStr">
        <is>
          <t>Sub Theme/Adgroup</t>
        </is>
      </c>
      <c r="F1" s="23" t="inlineStr">
        <is>
          <t>Reason</t>
        </is>
      </c>
      <c r="G1" s="23" t="inlineStr">
        <is>
          <t>Category</t>
        </is>
      </c>
      <c r="H1" s="23" t="inlineStr">
        <is>
          <t>Intent</t>
        </is>
      </c>
    </row>
    <row r="2">
      <c r="A2" t="inlineStr">
        <is>
          <t>curry paste thai</t>
        </is>
      </c>
      <c r="B2" t="n">
        <v>3600</v>
      </c>
      <c r="C2" t="inlineStr">
        <is>
          <t>No</t>
        </is>
      </c>
      <c r="F2" t="inlineStr">
        <is>
          <t>Thai / foreign cuisine – wrong flavour for a Chettinad paste</t>
        </is>
      </c>
      <c r="G2" t="inlineStr">
        <is>
          <t>Generic</t>
        </is>
      </c>
      <c r="H2" t="inlineStr">
        <is>
          <t>High / Commercial</t>
        </is>
      </c>
    </row>
    <row r="3">
      <c r="A3" t="inlineStr">
        <is>
          <t>thai curry paste</t>
        </is>
      </c>
      <c r="B3" t="n">
        <v>3600</v>
      </c>
      <c r="C3" t="inlineStr">
        <is>
          <t>No</t>
        </is>
      </c>
      <c r="F3" t="inlineStr">
        <is>
          <t>Thai / foreign cuisine – wrong flavour for a Chettinad paste</t>
        </is>
      </c>
      <c r="G3" t="inlineStr">
        <is>
          <t>Generic</t>
        </is>
      </c>
      <c r="H3" t="inlineStr">
        <is>
          <t>High / Commercial</t>
        </is>
      </c>
    </row>
    <row r="4">
      <c r="A4" t="inlineStr">
        <is>
          <t>thai green curry paste</t>
        </is>
      </c>
      <c r="B4" t="n">
        <v>2900</v>
      </c>
      <c r="C4" t="inlineStr">
        <is>
          <t>No</t>
        </is>
      </c>
      <c r="F4" t="inlineStr">
        <is>
          <t>Thai / foreign cuisine – wrong flavour for a Chettinad paste</t>
        </is>
      </c>
      <c r="G4" t="inlineStr">
        <is>
          <t>Generic</t>
        </is>
      </c>
      <c r="H4" t="inlineStr">
        <is>
          <t>High / Commercial</t>
        </is>
      </c>
    </row>
    <row r="5">
      <c r="A5" t="inlineStr">
        <is>
          <t>thai red curry paste</t>
        </is>
      </c>
      <c r="B5" t="n">
        <v>2400</v>
      </c>
      <c r="C5" t="inlineStr">
        <is>
          <t>No</t>
        </is>
      </c>
      <c r="F5" t="inlineStr">
        <is>
          <t>Thai / foreign cuisine – wrong flavour for a Chettinad paste</t>
        </is>
      </c>
      <c r="G5" t="inlineStr">
        <is>
          <t>Generic</t>
        </is>
      </c>
      <c r="H5" t="inlineStr">
        <is>
          <t>High / Commercial</t>
        </is>
      </c>
    </row>
    <row r="6">
      <c r="A6" t="inlineStr">
        <is>
          <t>chicken curry masala</t>
        </is>
      </c>
      <c r="B6" t="n">
        <v>1300</v>
      </c>
      <c r="C6" t="inlineStr">
        <is>
          <t>Yes</t>
        </is>
      </c>
      <c r="D6" t="inlineStr">
        <is>
          <t>Generic</t>
        </is>
      </c>
      <c r="E6" t="inlineStr">
        <is>
          <t>Chicken Curry Masala</t>
        </is>
      </c>
      <c r="F6" t="inlineStr">
        <is>
          <t>Same cooking need (chicken curry)</t>
        </is>
      </c>
      <c r="G6" t="inlineStr">
        <is>
          <t>Generic</t>
        </is>
      </c>
      <c r="H6" t="inlineStr">
        <is>
          <t>High / Commercial</t>
        </is>
      </c>
    </row>
    <row r="7">
      <c r="A7" t="inlineStr">
        <is>
          <t>chettinad masala</t>
        </is>
      </c>
      <c r="B7" t="n">
        <v>1000</v>
      </c>
      <c r="C7" t="inlineStr">
        <is>
          <t>Yes</t>
        </is>
      </c>
      <c r="D7" t="inlineStr">
        <is>
          <t>Generic</t>
        </is>
      </c>
      <c r="E7" t="inlineStr">
        <is>
          <t>Chettinad</t>
        </is>
      </c>
      <c r="F7" t="inlineStr">
        <is>
          <t>Exact cuisine match</t>
        </is>
      </c>
      <c r="G7" t="inlineStr">
        <is>
          <t>Generic</t>
        </is>
      </c>
      <c r="H7" t="inlineStr">
        <is>
          <t>High / Commercial</t>
        </is>
      </c>
    </row>
    <row r="8">
      <c r="A8" t="inlineStr">
        <is>
          <t>chicken chettinad masala</t>
        </is>
      </c>
      <c r="B8" t="n">
        <v>720</v>
      </c>
      <c r="C8" t="inlineStr">
        <is>
          <t>Yes</t>
        </is>
      </c>
      <c r="D8" t="inlineStr">
        <is>
          <t>Generic</t>
        </is>
      </c>
      <c r="E8" t="inlineStr">
        <is>
          <t>Chettinad</t>
        </is>
      </c>
      <c r="F8" t="inlineStr">
        <is>
          <t>Exact cuisine match</t>
        </is>
      </c>
      <c r="G8" t="inlineStr">
        <is>
          <t>Generic</t>
        </is>
      </c>
      <c r="H8" t="inlineStr">
        <is>
          <t>High / Commercial</t>
        </is>
      </c>
    </row>
    <row r="9">
      <c r="A9" t="inlineStr">
        <is>
          <t>red curry paste</t>
        </is>
      </c>
      <c r="B9" t="n">
        <v>720</v>
      </c>
      <c r="C9" t="inlineStr">
        <is>
          <t>No</t>
        </is>
      </c>
      <c r="F9" t="inlineStr">
        <is>
          <t>Thai / foreign cuisine – wrong flavour for a Chettinad paste</t>
        </is>
      </c>
      <c r="G9" t="inlineStr">
        <is>
          <t>Generic</t>
        </is>
      </c>
      <c r="H9" t="inlineStr">
        <is>
          <t>High / Commercial</t>
        </is>
      </c>
    </row>
    <row r="10">
      <c r="A10" t="inlineStr">
        <is>
          <t>green curry paste</t>
        </is>
      </c>
      <c r="B10" t="n">
        <v>590</v>
      </c>
      <c r="C10" t="inlineStr">
        <is>
          <t>No</t>
        </is>
      </c>
      <c r="F10" t="inlineStr">
        <is>
          <t>Thai / foreign cuisine – wrong flavour for a Chettinad paste</t>
        </is>
      </c>
      <c r="G10" t="inlineStr">
        <is>
          <t>Generic</t>
        </is>
      </c>
      <c r="H10" t="inlineStr">
        <is>
          <t>High / Commercial</t>
        </is>
      </c>
    </row>
    <row r="11">
      <c r="A11" t="inlineStr">
        <is>
          <t>real thai red curry paste</t>
        </is>
      </c>
      <c r="B11" t="n">
        <v>590</v>
      </c>
      <c r="C11" t="inlineStr">
        <is>
          <t>No</t>
        </is>
      </c>
      <c r="F11" t="inlineStr">
        <is>
          <t>Thai / foreign cuisine – wrong flavour for a Chettinad paste</t>
        </is>
      </c>
      <c r="G11" t="inlineStr">
        <is>
          <t>Generic</t>
        </is>
      </c>
      <c r="H11" t="inlineStr">
        <is>
          <t>High / Commercial</t>
        </is>
      </c>
    </row>
    <row r="12">
      <c r="A12" t="inlineStr">
        <is>
          <t>massaman curry paste</t>
        </is>
      </c>
      <c r="B12" t="n">
        <v>480</v>
      </c>
      <c r="C12" t="inlineStr">
        <is>
          <t>No</t>
        </is>
      </c>
      <c r="F12" t="inlineStr">
        <is>
          <t>Thai / foreign cuisine – wrong flavour for a Chettinad paste</t>
        </is>
      </c>
      <c r="G12" t="inlineStr">
        <is>
          <t>Generic</t>
        </is>
      </c>
      <c r="H12" t="inlineStr">
        <is>
          <t>High / Commercial</t>
        </is>
      </c>
    </row>
    <row r="13">
      <c r="A13" t="inlineStr">
        <is>
          <t>curry paste</t>
        </is>
      </c>
      <c r="B13" t="n">
        <v>390</v>
      </c>
      <c r="C13" t="inlineStr">
        <is>
          <t>Yes</t>
        </is>
      </c>
      <c r="D13" t="inlineStr">
        <is>
          <t>Generic</t>
        </is>
      </c>
      <c r="E13" t="inlineStr">
        <is>
          <t>Curry Paste / Ready to Cook</t>
        </is>
      </c>
      <c r="F13" t="inlineStr">
        <is>
          <t>Format match (paste / ready-to-cook)</t>
        </is>
      </c>
      <c r="G13" t="inlineStr">
        <is>
          <t>Generic</t>
        </is>
      </c>
      <c r="H13" t="inlineStr">
        <is>
          <t>High / Commercial</t>
        </is>
      </c>
    </row>
    <row r="14">
      <c r="A14" t="inlineStr">
        <is>
          <t>real thai green curry paste</t>
        </is>
      </c>
      <c r="B14" t="n">
        <v>390</v>
      </c>
      <c r="C14" t="inlineStr">
        <is>
          <t>No</t>
        </is>
      </c>
      <c r="F14" t="inlineStr">
        <is>
          <t>Thai / foreign cuisine – wrong flavour for a Chettinad paste</t>
        </is>
      </c>
      <c r="G14" t="inlineStr">
        <is>
          <t>Generic</t>
        </is>
      </c>
      <c r="H14" t="inlineStr">
        <is>
          <t>High / Commercial</t>
        </is>
      </c>
    </row>
    <row r="15">
      <c r="A15" t="inlineStr">
        <is>
          <t>thai yellow curry paste</t>
        </is>
      </c>
      <c r="B15" t="n">
        <v>320</v>
      </c>
      <c r="C15" t="inlineStr">
        <is>
          <t>No</t>
        </is>
      </c>
      <c r="F15" t="inlineStr">
        <is>
          <t>Thai / foreign cuisine – wrong flavour for a Chettinad paste</t>
        </is>
      </c>
      <c r="G15" t="inlineStr">
        <is>
          <t>Generic</t>
        </is>
      </c>
      <c r="H15" t="inlineStr">
        <is>
          <t>High / Commercial</t>
        </is>
      </c>
    </row>
    <row r="16">
      <c r="A16" t="inlineStr">
        <is>
          <t>yellow curry paste</t>
        </is>
      </c>
      <c r="B16" t="n">
        <v>260</v>
      </c>
      <c r="C16" t="inlineStr">
        <is>
          <t>No</t>
        </is>
      </c>
      <c r="F16" t="inlineStr">
        <is>
          <t>Thai / foreign cuisine – wrong flavour for a Chettinad paste</t>
        </is>
      </c>
      <c r="G16" t="inlineStr">
        <is>
          <t>Generic</t>
        </is>
      </c>
      <c r="H16" t="inlineStr">
        <is>
          <t>High / Commercial</t>
        </is>
      </c>
    </row>
    <row r="17">
      <c r="A17" t="inlineStr">
        <is>
          <t>chicken curry masala powder</t>
        </is>
      </c>
      <c r="B17" t="n">
        <v>170</v>
      </c>
      <c r="C17" t="inlineStr">
        <is>
          <t>Yes</t>
        </is>
      </c>
      <c r="D17" t="inlineStr">
        <is>
          <t>Generic</t>
        </is>
      </c>
      <c r="E17" t="inlineStr">
        <is>
          <t>Chicken Curry Masala</t>
        </is>
      </c>
      <c r="F17" t="inlineStr">
        <is>
          <t>Same cooking need (chicken curry)</t>
        </is>
      </c>
      <c r="G17" t="inlineStr">
        <is>
          <t>Generic</t>
        </is>
      </c>
      <c r="H17" t="inlineStr">
        <is>
          <t>High / Commercial</t>
        </is>
      </c>
    </row>
    <row r="18">
      <c r="A18" t="inlineStr">
        <is>
          <t>maesri thai curry paste</t>
        </is>
      </c>
      <c r="B18" t="n">
        <v>170</v>
      </c>
      <c r="C18" t="inlineStr">
        <is>
          <t>No</t>
        </is>
      </c>
      <c r="F18" t="inlineStr">
        <is>
          <t>Thai / foreign cuisine – wrong flavour for a Chettinad paste</t>
        </is>
      </c>
      <c r="G18" t="inlineStr">
        <is>
          <t>Generic</t>
        </is>
      </c>
      <c r="H18" t="inlineStr">
        <is>
          <t>High / Commercial</t>
        </is>
      </c>
    </row>
    <row r="19">
      <c r="A19" t="inlineStr">
        <is>
          <t>namjai green curry paste</t>
        </is>
      </c>
      <c r="B19" t="n">
        <v>170</v>
      </c>
      <c r="C19" t="inlineStr">
        <is>
          <t>No</t>
        </is>
      </c>
      <c r="F19" t="inlineStr">
        <is>
          <t>Thai / foreign cuisine – wrong flavour for a Chettinad paste</t>
        </is>
      </c>
      <c r="G19" t="inlineStr">
        <is>
          <t>Generic</t>
        </is>
      </c>
      <c r="H19" t="inlineStr">
        <is>
          <t>High / Commercial</t>
        </is>
      </c>
    </row>
    <row r="20">
      <c r="A20" t="inlineStr">
        <is>
          <t>real thai curry paste</t>
        </is>
      </c>
      <c r="B20" t="n">
        <v>170</v>
      </c>
      <c r="C20" t="inlineStr">
        <is>
          <t>No</t>
        </is>
      </c>
      <c r="F20" t="inlineStr">
        <is>
          <t>Thai / foreign cuisine – wrong flavour for a Chettinad paste</t>
        </is>
      </c>
      <c r="G20" t="inlineStr">
        <is>
          <t>Generic</t>
        </is>
      </c>
      <c r="H20" t="inlineStr">
        <is>
          <t>High / Commercial</t>
        </is>
      </c>
    </row>
    <row r="21">
      <c r="A21" t="inlineStr">
        <is>
          <t>chettinad masala powder</t>
        </is>
      </c>
      <c r="B21" t="n">
        <v>140</v>
      </c>
      <c r="C21" t="inlineStr">
        <is>
          <t>Yes</t>
        </is>
      </c>
      <c r="D21" t="inlineStr">
        <is>
          <t>Generic</t>
        </is>
      </c>
      <c r="E21" t="inlineStr">
        <is>
          <t>Chettinad</t>
        </is>
      </c>
      <c r="F21" t="inlineStr">
        <is>
          <t>Exact cuisine match</t>
        </is>
      </c>
      <c r="G21" t="inlineStr">
        <is>
          <t>Generic</t>
        </is>
      </c>
      <c r="H21" t="inlineStr">
        <is>
          <t>High / Commercial</t>
        </is>
      </c>
    </row>
    <row r="22">
      <c r="A22" t="inlineStr">
        <is>
          <t>sunrise chicken curry masala</t>
        </is>
      </c>
      <c r="B22" t="n">
        <v>140</v>
      </c>
      <c r="C22" t="inlineStr">
        <is>
          <t>Yes</t>
        </is>
      </c>
      <c r="D22" t="inlineStr">
        <is>
          <t>Competitor</t>
        </is>
      </c>
      <c r="E22" t="inlineStr">
        <is>
          <t>Chicken Curry Masala Brands</t>
        </is>
      </c>
      <c r="F22" t="inlineStr">
        <is>
          <t>Competitor brand, chicken curry masala</t>
        </is>
      </c>
      <c r="G22" t="inlineStr">
        <is>
          <t>Generic</t>
        </is>
      </c>
      <c r="H22" t="inlineStr">
        <is>
          <t>High / Commercial</t>
        </is>
      </c>
    </row>
    <row r="23">
      <c r="A23" t="inlineStr">
        <is>
          <t>chettinad chicken masala powder</t>
        </is>
      </c>
      <c r="B23" t="n">
        <v>110</v>
      </c>
      <c r="C23" t="inlineStr">
        <is>
          <t>Yes</t>
        </is>
      </c>
      <c r="D23" t="inlineStr">
        <is>
          <t>Generic</t>
        </is>
      </c>
      <c r="E23" t="inlineStr">
        <is>
          <t>Chettinad</t>
        </is>
      </c>
      <c r="F23" t="inlineStr">
        <is>
          <t>Exact cuisine match</t>
        </is>
      </c>
      <c r="G23" t="inlineStr">
        <is>
          <t>Generic</t>
        </is>
      </c>
      <c r="H23" t="inlineStr">
        <is>
          <t>High / Commercial</t>
        </is>
      </c>
    </row>
    <row r="24">
      <c r="A24" t="inlineStr">
        <is>
          <t>cookd chettinad masala</t>
        </is>
      </c>
      <c r="B24" t="n">
        <v>110</v>
      </c>
      <c r="C24" t="inlineStr">
        <is>
          <t>Yes</t>
        </is>
      </c>
      <c r="D24" t="inlineStr">
        <is>
          <t>Competitor</t>
        </is>
      </c>
      <c r="E24" t="inlineStr">
        <is>
          <t>Chettinad Competitors</t>
        </is>
      </c>
      <c r="F24" t="inlineStr">
        <is>
          <t>Competitor brand + Chettinad</t>
        </is>
      </c>
      <c r="G24" t="inlineStr">
        <is>
          <t>Generic</t>
        </is>
      </c>
      <c r="H24" t="inlineStr">
        <is>
          <t>High / Commercial</t>
        </is>
      </c>
    </row>
    <row r="25">
      <c r="A25" t="inlineStr">
        <is>
          <t>curry leaves paste</t>
        </is>
      </c>
      <c r="B25" t="n">
        <v>110</v>
      </c>
      <c r="C25" t="inlineStr">
        <is>
          <t>No</t>
        </is>
      </c>
      <c r="F25" t="inlineStr">
        <is>
          <t>Single-ingredient paste, not a curry</t>
        </is>
      </c>
      <c r="G25" t="inlineStr">
        <is>
          <t>Generic</t>
        </is>
      </c>
      <c r="H25" t="inlineStr">
        <is>
          <t>High / Commercial</t>
        </is>
      </c>
    </row>
    <row r="26">
      <c r="A26" t="inlineStr">
        <is>
          <t>chettinad biryani masala</t>
        </is>
      </c>
      <c r="B26" t="n">
        <v>90</v>
      </c>
      <c r="C26" t="inlineStr">
        <is>
          <t>No</t>
        </is>
      </c>
      <c r="F26" t="inlineStr">
        <is>
          <t>Biryani – different dish</t>
        </is>
      </c>
      <c r="G26" t="inlineStr">
        <is>
          <t>Generic</t>
        </is>
      </c>
      <c r="H26" t="inlineStr">
        <is>
          <t>High / Commercial</t>
        </is>
      </c>
    </row>
    <row r="27">
      <c r="A27" t="inlineStr">
        <is>
          <t>curry paste indian</t>
        </is>
      </c>
      <c r="B27" t="n">
        <v>90</v>
      </c>
      <c r="C27" t="inlineStr">
        <is>
          <t>Yes</t>
        </is>
      </c>
      <c r="D27" t="inlineStr">
        <is>
          <t>Generic</t>
        </is>
      </c>
      <c r="E27" t="inlineStr">
        <is>
          <t>Curry Paste / Ready to Cook</t>
        </is>
      </c>
      <c r="F27" t="inlineStr">
        <is>
          <t>Format match (paste / ready-to-cook)</t>
        </is>
      </c>
      <c r="G27" t="inlineStr">
        <is>
          <t>Generic</t>
        </is>
      </c>
      <c r="H27" t="inlineStr">
        <is>
          <t>High / Commercial</t>
        </is>
      </c>
    </row>
    <row r="28">
      <c r="A28" t="inlineStr">
        <is>
          <t>namjai red curry paste</t>
        </is>
      </c>
      <c r="B28" t="n">
        <v>90</v>
      </c>
      <c r="C28" t="inlineStr">
        <is>
          <t>No</t>
        </is>
      </c>
      <c r="F28" t="inlineStr">
        <is>
          <t>Thai / foreign cuisine – wrong flavour for a Chettinad paste</t>
        </is>
      </c>
      <c r="G28" t="inlineStr">
        <is>
          <t>Generic</t>
        </is>
      </c>
      <c r="H28" t="inlineStr">
        <is>
          <t>High / Commercial</t>
        </is>
      </c>
    </row>
    <row r="29">
      <c r="A29" t="inlineStr">
        <is>
          <t>real thai yellow curry paste</t>
        </is>
      </c>
      <c r="B29" t="n">
        <v>90</v>
      </c>
      <c r="C29" t="inlineStr">
        <is>
          <t>No</t>
        </is>
      </c>
      <c r="F29" t="inlineStr">
        <is>
          <t>Thai / foreign cuisine – wrong flavour for a Chettinad paste</t>
        </is>
      </c>
      <c r="G29" t="inlineStr">
        <is>
          <t>Generic</t>
        </is>
      </c>
      <c r="H29" t="inlineStr">
        <is>
          <t>High / Commercial</t>
        </is>
      </c>
    </row>
    <row r="30">
      <c r="A30" t="inlineStr">
        <is>
          <t>jain thai curry paste</t>
        </is>
      </c>
      <c r="B30" t="n">
        <v>70</v>
      </c>
      <c r="C30" t="inlineStr">
        <is>
          <t>No</t>
        </is>
      </c>
      <c r="F30" t="inlineStr">
        <is>
          <t>Jain / no onion-garlic; CURRYiT contains onion &amp; garlic</t>
        </is>
      </c>
      <c r="G30" t="inlineStr">
        <is>
          <t>Generic</t>
        </is>
      </c>
      <c r="H30" t="inlineStr">
        <is>
          <t>High / Commercial</t>
        </is>
      </c>
    </row>
    <row r="31">
      <c r="A31" t="inlineStr">
        <is>
          <t>katsu curry paste</t>
        </is>
      </c>
      <c r="B31" t="n">
        <v>70</v>
      </c>
      <c r="C31" t="inlineStr">
        <is>
          <t>No</t>
        </is>
      </c>
      <c r="F31" t="inlineStr">
        <is>
          <t>Thai / foreign cuisine – wrong flavour for a Chettinad paste</t>
        </is>
      </c>
      <c r="G31" t="inlineStr">
        <is>
          <t>Generic</t>
        </is>
      </c>
      <c r="H31" t="inlineStr">
        <is>
          <t>High / Commercial</t>
        </is>
      </c>
    </row>
    <row r="32">
      <c r="A32" t="inlineStr">
        <is>
          <t>namjai curry paste</t>
        </is>
      </c>
      <c r="B32" t="n">
        <v>70</v>
      </c>
      <c r="C32" t="inlineStr">
        <is>
          <t>No</t>
        </is>
      </c>
      <c r="F32" t="inlineStr">
        <is>
          <t>Thai / foreign cuisine – wrong flavour for a Chettinad paste</t>
        </is>
      </c>
      <c r="G32" t="inlineStr">
        <is>
          <t>Generic</t>
        </is>
      </c>
      <c r="H32" t="inlineStr">
        <is>
          <t>High / Commercial</t>
        </is>
      </c>
    </row>
    <row r="33">
      <c r="A33" t="inlineStr">
        <is>
          <t>namjai thai curry paste</t>
        </is>
      </c>
      <c r="B33" t="n">
        <v>70</v>
      </c>
      <c r="C33" t="inlineStr">
        <is>
          <t>No</t>
        </is>
      </c>
      <c r="F33" t="inlineStr">
        <is>
          <t>Thai / foreign cuisine – wrong flavour for a Chettinad paste</t>
        </is>
      </c>
      <c r="G33" t="inlineStr">
        <is>
          <t>Generic</t>
        </is>
      </c>
      <c r="H33" t="inlineStr">
        <is>
          <t>High / Commercial</t>
        </is>
      </c>
    </row>
    <row r="34">
      <c r="A34" t="inlineStr">
        <is>
          <t>non veg curry masala paste</t>
        </is>
      </c>
      <c r="B34" t="n">
        <v>70</v>
      </c>
      <c r="C34" t="inlineStr">
        <is>
          <t>Yes</t>
        </is>
      </c>
      <c r="D34" t="inlineStr">
        <is>
          <t>Generic</t>
        </is>
      </c>
      <c r="E34" t="inlineStr">
        <is>
          <t>Curry Paste / Ready to Cook</t>
        </is>
      </c>
      <c r="F34" t="inlineStr">
        <is>
          <t>Format match (paste / ready-to-cook)</t>
        </is>
      </c>
      <c r="G34" t="inlineStr">
        <is>
          <t>Generic</t>
        </is>
      </c>
      <c r="H34" t="inlineStr">
        <is>
          <t>High / Commercial</t>
        </is>
      </c>
    </row>
    <row r="35">
      <c r="A35" t="inlineStr">
        <is>
          <t>sakthi chettinad chicken masala</t>
        </is>
      </c>
      <c r="B35" t="n">
        <v>70</v>
      </c>
      <c r="C35" t="inlineStr">
        <is>
          <t>Yes</t>
        </is>
      </c>
      <c r="D35" t="inlineStr">
        <is>
          <t>Competitor</t>
        </is>
      </c>
      <c r="E35" t="inlineStr">
        <is>
          <t>Chettinad Competitors</t>
        </is>
      </c>
      <c r="F35" t="inlineStr">
        <is>
          <t>Competitor brand + Chettinad</t>
        </is>
      </c>
      <c r="G35" t="inlineStr">
        <is>
          <t>Generic</t>
        </is>
      </c>
      <c r="H35" t="inlineStr">
        <is>
          <t>High / Commercial</t>
        </is>
      </c>
    </row>
    <row r="36">
      <c r="A36" t="inlineStr">
        <is>
          <t>laksa curry paste</t>
        </is>
      </c>
      <c r="B36" t="n">
        <v>50</v>
      </c>
      <c r="C36" t="inlineStr">
        <is>
          <t>No</t>
        </is>
      </c>
      <c r="F36" t="inlineStr">
        <is>
          <t>Thai / foreign cuisine – wrong flavour for a Chettinad paste</t>
        </is>
      </c>
      <c r="G36" t="inlineStr">
        <is>
          <t>Generic</t>
        </is>
      </c>
      <c r="H36" t="inlineStr">
        <is>
          <t>High / Commercial</t>
        </is>
      </c>
    </row>
    <row r="37">
      <c r="A37" t="inlineStr">
        <is>
          <t>rendang curry paste</t>
        </is>
      </c>
      <c r="B37" t="n">
        <v>50</v>
      </c>
      <c r="C37" t="inlineStr">
        <is>
          <t>No</t>
        </is>
      </c>
      <c r="F37" t="inlineStr">
        <is>
          <t>Thai / foreign cuisine – wrong flavour for a Chettinad paste</t>
        </is>
      </c>
      <c r="G37" t="inlineStr">
        <is>
          <t>Generic</t>
        </is>
      </c>
      <c r="H37" t="inlineStr">
        <is>
          <t>High / Commercial</t>
        </is>
      </c>
    </row>
    <row r="38">
      <c r="A38" t="inlineStr">
        <is>
          <t>thai green curry paste vegetarian</t>
        </is>
      </c>
      <c r="B38" t="n">
        <v>50</v>
      </c>
      <c r="C38" t="inlineStr">
        <is>
          <t>No</t>
        </is>
      </c>
      <c r="F38" t="inlineStr">
        <is>
          <t>Thai / foreign cuisine – wrong flavour for a Chettinad paste</t>
        </is>
      </c>
      <c r="G38" t="inlineStr">
        <is>
          <t>Generic</t>
        </is>
      </c>
      <c r="H38" t="inlineStr">
        <is>
          <t>High / Commercial</t>
        </is>
      </c>
    </row>
    <row r="39">
      <c r="A39" t="inlineStr">
        <is>
          <t>zoff chicken curry masala</t>
        </is>
      </c>
      <c r="B39" t="n">
        <v>50</v>
      </c>
      <c r="C39" t="inlineStr">
        <is>
          <t>Yes</t>
        </is>
      </c>
      <c r="D39" t="inlineStr">
        <is>
          <t>Competitor</t>
        </is>
      </c>
      <c r="E39" t="inlineStr">
        <is>
          <t>Chicken Curry Masala Brands</t>
        </is>
      </c>
      <c r="F39" t="inlineStr">
        <is>
          <t>Competitor brand, chicken curry masala</t>
        </is>
      </c>
      <c r="G39" t="inlineStr">
        <is>
          <t>Generic</t>
        </is>
      </c>
      <c r="H39" t="inlineStr">
        <is>
          <t>High / Commercial</t>
        </is>
      </c>
    </row>
    <row r="40">
      <c r="A40" t="inlineStr">
        <is>
          <t>fish curry paste</t>
        </is>
      </c>
      <c r="B40" t="n">
        <v>40</v>
      </c>
      <c r="C40" t="inlineStr">
        <is>
          <t>No</t>
        </is>
      </c>
      <c r="F40" t="inlineStr">
        <is>
          <t>Other dish / other CURRYiT product – route elsewhere</t>
        </is>
      </c>
      <c r="G40" t="inlineStr">
        <is>
          <t>Generic</t>
        </is>
      </c>
      <c r="H40" t="inlineStr">
        <is>
          <t>High / Commercial</t>
        </is>
      </c>
    </row>
    <row r="41">
      <c r="A41" t="inlineStr">
        <is>
          <t>japanese curry paste</t>
        </is>
      </c>
      <c r="B41" t="n">
        <v>40</v>
      </c>
      <c r="C41" t="inlineStr">
        <is>
          <t>No</t>
        </is>
      </c>
      <c r="F41" t="inlineStr">
        <is>
          <t>Thai / foreign cuisine – wrong flavour for a Chettinad paste</t>
        </is>
      </c>
      <c r="G41" t="inlineStr">
        <is>
          <t>Generic</t>
        </is>
      </c>
      <c r="H41" t="inlineStr">
        <is>
          <t>High / Commercial</t>
        </is>
      </c>
    </row>
    <row r="42">
      <c r="A42" t="inlineStr">
        <is>
          <t>malaysian curry paste</t>
        </is>
      </c>
      <c r="B42" t="n">
        <v>40</v>
      </c>
      <c r="C42" t="inlineStr">
        <is>
          <t>No</t>
        </is>
      </c>
      <c r="F42" t="inlineStr">
        <is>
          <t>Thai / foreign cuisine – wrong flavour for a Chettinad paste</t>
        </is>
      </c>
      <c r="G42" t="inlineStr">
        <is>
          <t>Generic</t>
        </is>
      </c>
      <c r="H42" t="inlineStr">
        <is>
          <t>High / Commercial</t>
        </is>
      </c>
    </row>
    <row r="43">
      <c r="A43" t="inlineStr">
        <is>
          <t>ready to cook curry</t>
        </is>
      </c>
      <c r="B43" t="n">
        <v>40</v>
      </c>
      <c r="C43" t="inlineStr">
        <is>
          <t>Yes</t>
        </is>
      </c>
      <c r="D43" t="inlineStr">
        <is>
          <t>Generic</t>
        </is>
      </c>
      <c r="E43" t="inlineStr">
        <is>
          <t>Curry Paste / Ready to Cook</t>
        </is>
      </c>
      <c r="F43" t="inlineStr">
        <is>
          <t>Format match (paste / ready-to-cook)</t>
        </is>
      </c>
      <c r="G43" t="inlineStr">
        <is>
          <t>Generic</t>
        </is>
      </c>
      <c r="H43" t="inlineStr">
        <is>
          <t>High / Commercial</t>
        </is>
      </c>
    </row>
    <row r="44">
      <c r="A44" t="inlineStr">
        <is>
          <t>thai curry paste vegetarian</t>
        </is>
      </c>
      <c r="B44" t="n">
        <v>40</v>
      </c>
      <c r="C44" t="inlineStr">
        <is>
          <t>No</t>
        </is>
      </c>
      <c r="F44" t="inlineStr">
        <is>
          <t>Thai / foreign cuisine – wrong flavour for a Chettinad paste</t>
        </is>
      </c>
      <c r="G44" t="inlineStr">
        <is>
          <t>Generic</t>
        </is>
      </c>
      <c r="H44" t="inlineStr">
        <is>
          <t>High / Commercial</t>
        </is>
      </c>
    </row>
    <row r="45">
      <c r="A45" t="inlineStr">
        <is>
          <t>best thai curry paste</t>
        </is>
      </c>
      <c r="B45" t="n">
        <v>30</v>
      </c>
      <c r="C45" t="inlineStr">
        <is>
          <t>No</t>
        </is>
      </c>
      <c r="F45" t="inlineStr">
        <is>
          <t>Thai / foreign cuisine – wrong flavour for a Chettinad paste</t>
        </is>
      </c>
      <c r="G45" t="inlineStr">
        <is>
          <t>Generic</t>
        </is>
      </c>
      <c r="H45" t="inlineStr">
        <is>
          <t>High / Commercial</t>
        </is>
      </c>
    </row>
    <row r="46">
      <c r="A46" t="inlineStr">
        <is>
          <t>coconut paste for cooking</t>
        </is>
      </c>
      <c r="B46" t="n">
        <v>30</v>
      </c>
      <c r="C46" t="inlineStr">
        <is>
          <t>No</t>
        </is>
      </c>
      <c r="F46" t="inlineStr">
        <is>
          <t>Single-ingredient paste, not a curry</t>
        </is>
      </c>
      <c r="G46" t="inlineStr">
        <is>
          <t>Generic</t>
        </is>
      </c>
      <c r="H46" t="inlineStr">
        <is>
          <t>High / Commercial</t>
        </is>
      </c>
    </row>
    <row r="47">
      <c r="A47" t="inlineStr">
        <is>
          <t>mutton curry paste</t>
        </is>
      </c>
      <c r="B47" t="n">
        <v>30</v>
      </c>
      <c r="C47" t="inlineStr">
        <is>
          <t>Yes</t>
        </is>
      </c>
      <c r="D47" t="inlineStr">
        <is>
          <t>Generic</t>
        </is>
      </c>
      <c r="E47" t="inlineStr">
        <is>
          <t>Curry Paste / Ready to Cook</t>
        </is>
      </c>
      <c r="F47" t="inlineStr">
        <is>
          <t>Format match (paste / ready-to-cook)</t>
        </is>
      </c>
      <c r="G47" t="inlineStr">
        <is>
          <t>Generic</t>
        </is>
      </c>
      <c r="H47" t="inlineStr">
        <is>
          <t>High / Commercial</t>
        </is>
      </c>
    </row>
    <row r="48">
      <c r="A48" t="inlineStr">
        <is>
          <t>ready to cook chicken curry</t>
        </is>
      </c>
      <c r="B48" t="n">
        <v>30</v>
      </c>
      <c r="C48" t="inlineStr">
        <is>
          <t>Yes</t>
        </is>
      </c>
      <c r="D48" t="inlineStr">
        <is>
          <t>Generic</t>
        </is>
      </c>
      <c r="E48" t="inlineStr">
        <is>
          <t>Curry Paste / Ready to Cook</t>
        </is>
      </c>
      <c r="F48" t="inlineStr">
        <is>
          <t>Format match (paste / ready-to-cook)</t>
        </is>
      </c>
      <c r="G48" t="inlineStr">
        <is>
          <t>Generic</t>
        </is>
      </c>
      <c r="H48" t="inlineStr">
        <is>
          <t>High / Commercial</t>
        </is>
      </c>
    </row>
    <row r="49">
      <c r="A49" t="inlineStr">
        <is>
          <t>thai red curry paste vegan</t>
        </is>
      </c>
      <c r="B49" t="n">
        <v>30</v>
      </c>
      <c r="C49" t="inlineStr">
        <is>
          <t>No</t>
        </is>
      </c>
      <c r="F49" t="inlineStr">
        <is>
          <t>Thai / foreign cuisine – wrong flavour for a Chettinad paste</t>
        </is>
      </c>
      <c r="G49" t="inlineStr">
        <is>
          <t>Generic</t>
        </is>
      </c>
      <c r="H49" t="inlineStr">
        <is>
          <t>High / Commercial</t>
        </is>
      </c>
    </row>
    <row r="50">
      <c r="A50" t="inlineStr">
        <is>
          <t>thai red curry paste vegetarian</t>
        </is>
      </c>
      <c r="B50" t="n">
        <v>30</v>
      </c>
      <c r="C50" t="inlineStr">
        <is>
          <t>No</t>
        </is>
      </c>
      <c r="F50" t="inlineStr">
        <is>
          <t>Thai / foreign cuisine – wrong flavour for a Chettinad paste</t>
        </is>
      </c>
      <c r="G50" t="inlineStr">
        <is>
          <t>Generic</t>
        </is>
      </c>
      <c r="H50" t="inlineStr">
        <is>
          <t>High / Commercial</t>
        </is>
      </c>
    </row>
    <row r="51">
      <c r="A51" t="inlineStr">
        <is>
          <t>chettinad chicken biryani masala</t>
        </is>
      </c>
      <c r="B51" t="n">
        <v>20</v>
      </c>
      <c r="C51" t="inlineStr">
        <is>
          <t>No</t>
        </is>
      </c>
      <c r="F51" t="inlineStr">
        <is>
          <t>Biryani – different dish</t>
        </is>
      </c>
      <c r="G51" t="inlineStr">
        <is>
          <t>Generic</t>
        </is>
      </c>
      <c r="H51" t="inlineStr">
        <is>
          <t>High / Commercial</t>
        </is>
      </c>
    </row>
    <row r="52">
      <c r="A52" t="inlineStr">
        <is>
          <t>cooking pastes</t>
        </is>
      </c>
      <c r="B52" t="n">
        <v>20</v>
      </c>
      <c r="C52" t="inlineStr">
        <is>
          <t>Yes</t>
        </is>
      </c>
      <c r="D52" t="inlineStr">
        <is>
          <t>Generic</t>
        </is>
      </c>
      <c r="E52" t="inlineStr">
        <is>
          <t>Curry Paste / Ready to Cook</t>
        </is>
      </c>
      <c r="F52" t="inlineStr">
        <is>
          <t>Format match (paste / ready-to-cook)</t>
        </is>
      </c>
      <c r="G52" t="inlineStr">
        <is>
          <t>Generic</t>
        </is>
      </c>
      <c r="H52" t="inlineStr">
        <is>
          <t>High / Commercial</t>
        </is>
      </c>
    </row>
    <row r="53">
      <c r="A53" t="inlineStr">
        <is>
          <t>egg curry paste</t>
        </is>
      </c>
      <c r="B53" t="n">
        <v>20</v>
      </c>
      <c r="C53" t="inlineStr">
        <is>
          <t>No</t>
        </is>
      </c>
      <c r="F53" t="inlineStr">
        <is>
          <t>Other dish / other CURRYiT product – route elsewhere</t>
        </is>
      </c>
      <c r="G53" t="inlineStr">
        <is>
          <t>Generic</t>
        </is>
      </c>
      <c r="H53" t="inlineStr">
        <is>
          <t>High / Commercial</t>
        </is>
      </c>
    </row>
    <row r="54">
      <c r="A54" t="inlineStr">
        <is>
          <t>india gate chettinad chicken masala</t>
        </is>
      </c>
      <c r="B54" t="n">
        <v>20</v>
      </c>
      <c r="C54" t="inlineStr">
        <is>
          <t>Yes</t>
        </is>
      </c>
      <c r="D54" t="inlineStr">
        <is>
          <t>Competitor</t>
        </is>
      </c>
      <c r="E54" t="inlineStr">
        <is>
          <t>Chettinad Competitors</t>
        </is>
      </c>
      <c r="F54" t="inlineStr">
        <is>
          <t>Competitor brand + Chettinad</t>
        </is>
      </c>
      <c r="G54" t="inlineStr">
        <is>
          <t>Generic</t>
        </is>
      </c>
      <c r="H54" t="inlineStr">
        <is>
          <t>High / Commercial</t>
        </is>
      </c>
    </row>
    <row r="55">
      <c r="A55" t="inlineStr">
        <is>
          <t>india gate classic chettinad chicken masala</t>
        </is>
      </c>
      <c r="B55" t="n">
        <v>20</v>
      </c>
      <c r="C55" t="inlineStr">
        <is>
          <t>Yes</t>
        </is>
      </c>
      <c r="D55" t="inlineStr">
        <is>
          <t>Competitor</t>
        </is>
      </c>
      <c r="E55" t="inlineStr">
        <is>
          <t>Chettinad Competitors</t>
        </is>
      </c>
      <c r="F55" t="inlineStr">
        <is>
          <t>Competitor brand + Chettinad</t>
        </is>
      </c>
      <c r="G55" t="inlineStr">
        <is>
          <t>Generic</t>
        </is>
      </c>
      <c r="H55" t="inlineStr">
        <is>
          <t>High / Commercial</t>
        </is>
      </c>
    </row>
    <row r="56">
      <c r="A56" t="inlineStr">
        <is>
          <t>khowsuey curry paste</t>
        </is>
      </c>
      <c r="B56" t="n">
        <v>20</v>
      </c>
      <c r="C56" t="inlineStr">
        <is>
          <t>No</t>
        </is>
      </c>
      <c r="F56" t="inlineStr">
        <is>
          <t>Thai / foreign cuisine – wrong flavour for a Chettinad paste</t>
        </is>
      </c>
      <c r="G56" t="inlineStr">
        <is>
          <t>Generic</t>
        </is>
      </c>
      <c r="H56" t="inlineStr">
        <is>
          <t>High / Commercial</t>
        </is>
      </c>
    </row>
    <row r="57">
      <c r="A57" t="inlineStr">
        <is>
          <t>lobo thai curry paste</t>
        </is>
      </c>
      <c r="B57" t="n">
        <v>20</v>
      </c>
      <c r="C57" t="inlineStr">
        <is>
          <t>No</t>
        </is>
      </c>
      <c r="F57" t="inlineStr">
        <is>
          <t>Thai / foreign cuisine – wrong flavour for a Chettinad paste</t>
        </is>
      </c>
      <c r="G57" t="inlineStr">
        <is>
          <t>Generic</t>
        </is>
      </c>
      <c r="H57" t="inlineStr">
        <is>
          <t>High / Commercial</t>
        </is>
      </c>
    </row>
    <row r="58">
      <c r="A58" t="inlineStr">
        <is>
          <t>mustard paste for cooking</t>
        </is>
      </c>
      <c r="B58" t="n">
        <v>20</v>
      </c>
      <c r="C58" t="inlineStr">
        <is>
          <t>No</t>
        </is>
      </c>
      <c r="F58" t="inlineStr">
        <is>
          <t>Single-ingredient paste, not a curry</t>
        </is>
      </c>
      <c r="G58" t="inlineStr">
        <is>
          <t>Generic</t>
        </is>
      </c>
      <c r="H58" t="inlineStr">
        <is>
          <t>High / Commercial</t>
        </is>
      </c>
    </row>
    <row r="59">
      <c r="A59" t="inlineStr">
        <is>
          <t>namjai yellow curry paste</t>
        </is>
      </c>
      <c r="B59" t="n">
        <v>20</v>
      </c>
      <c r="C59" t="inlineStr">
        <is>
          <t>No</t>
        </is>
      </c>
      <c r="F59" t="inlineStr">
        <is>
          <t>Thai / foreign cuisine – wrong flavour for a Chettinad paste</t>
        </is>
      </c>
      <c r="G59" t="inlineStr">
        <is>
          <t>Generic</t>
        </is>
      </c>
      <c r="H59" t="inlineStr">
        <is>
          <t>High / Commercial</t>
        </is>
      </c>
    </row>
    <row r="60">
      <c r="A60" t="inlineStr">
        <is>
          <t>ready to cook curry paste</t>
        </is>
      </c>
      <c r="B60" t="n">
        <v>20</v>
      </c>
      <c r="C60" t="inlineStr">
        <is>
          <t>Yes</t>
        </is>
      </c>
      <c r="D60" t="inlineStr">
        <is>
          <t>Generic</t>
        </is>
      </c>
      <c r="E60" t="inlineStr">
        <is>
          <t>Curry Paste / Ready to Cook</t>
        </is>
      </c>
      <c r="F60" t="inlineStr">
        <is>
          <t>Format match (paste / ready-to-cook)</t>
        </is>
      </c>
      <c r="G60" t="inlineStr">
        <is>
          <t>Generic</t>
        </is>
      </c>
      <c r="H60" t="inlineStr">
        <is>
          <t>High / Commercial</t>
        </is>
      </c>
    </row>
    <row r="61">
      <c r="A61" t="inlineStr">
        <is>
          <t>ready to cook fish curry</t>
        </is>
      </c>
      <c r="B61" t="n">
        <v>20</v>
      </c>
      <c r="C61" t="inlineStr">
        <is>
          <t>No</t>
        </is>
      </c>
      <c r="F61" t="inlineStr">
        <is>
          <t>Other dish / other CURRYiT product – route elsewhere</t>
        </is>
      </c>
      <c r="G61" t="inlineStr">
        <is>
          <t>Generic</t>
        </is>
      </c>
      <c r="H61" t="inlineStr">
        <is>
          <t>High / Commercial</t>
        </is>
      </c>
    </row>
    <row r="62">
      <c r="A62" t="inlineStr">
        <is>
          <t>tom yum curry paste</t>
        </is>
      </c>
      <c r="B62" t="n">
        <v>20</v>
      </c>
      <c r="C62" t="inlineStr">
        <is>
          <t>No</t>
        </is>
      </c>
      <c r="F62" t="inlineStr">
        <is>
          <t>Thai / foreign cuisine – wrong flavour for a Chettinad paste</t>
        </is>
      </c>
      <c r="G62" t="inlineStr">
        <is>
          <t>Generic</t>
        </is>
      </c>
      <c r="H62" t="inlineStr">
        <is>
          <t>High / Commercial</t>
        </is>
      </c>
    </row>
    <row r="63">
      <c r="A63" t="inlineStr">
        <is>
          <t>aroy d thai curry paste</t>
        </is>
      </c>
      <c r="B63" t="n">
        <v>10</v>
      </c>
      <c r="C63" t="inlineStr">
        <is>
          <t>No</t>
        </is>
      </c>
      <c r="F63" t="inlineStr">
        <is>
          <t>Thai / foreign cuisine – wrong flavour for a Chettinad paste</t>
        </is>
      </c>
      <c r="G63" t="inlineStr">
        <is>
          <t>Generic</t>
        </is>
      </c>
      <c r="H63" t="inlineStr">
        <is>
          <t>High / Commercial</t>
        </is>
      </c>
    </row>
    <row r="64">
      <c r="A64" t="inlineStr">
        <is>
          <t>authentic thai green curry paste</t>
        </is>
      </c>
      <c r="B64" t="n">
        <v>10</v>
      </c>
      <c r="C64" t="inlineStr">
        <is>
          <t>No</t>
        </is>
      </c>
      <c r="F64" t="inlineStr">
        <is>
          <t>Thai / foreign cuisine – wrong flavour for a Chettinad paste</t>
        </is>
      </c>
      <c r="G64" t="inlineStr">
        <is>
          <t>Generic</t>
        </is>
      </c>
      <c r="H64" t="inlineStr">
        <is>
          <t>High / Commercial</t>
        </is>
      </c>
    </row>
    <row r="65">
      <c r="A65" t="inlineStr">
        <is>
          <t>ayam thai curry paste</t>
        </is>
      </c>
      <c r="B65" t="n">
        <v>10</v>
      </c>
      <c r="C65" t="inlineStr">
        <is>
          <t>No</t>
        </is>
      </c>
      <c r="F65" t="inlineStr">
        <is>
          <t>Thai / foreign cuisine – wrong flavour for a Chettinad paste</t>
        </is>
      </c>
      <c r="G65" t="inlineStr">
        <is>
          <t>Generic</t>
        </is>
      </c>
      <c r="H65" t="inlineStr">
        <is>
          <t>High / Commercial</t>
        </is>
      </c>
    </row>
    <row r="66">
      <c r="A66" t="inlineStr">
        <is>
          <t>black curry paste</t>
        </is>
      </c>
      <c r="B66" t="n">
        <v>10</v>
      </c>
      <c r="C66" t="inlineStr">
        <is>
          <t>No</t>
        </is>
      </c>
      <c r="F66" t="inlineStr">
        <is>
          <t>Thai / foreign cuisine – wrong flavour for a Chettinad paste</t>
        </is>
      </c>
      <c r="G66" t="inlineStr">
        <is>
          <t>Generic</t>
        </is>
      </c>
      <c r="H66" t="inlineStr">
        <is>
          <t>High / Commercial</t>
        </is>
      </c>
    </row>
    <row r="67">
      <c r="A67" t="inlineStr">
        <is>
          <t>blue dragon thai curry paste</t>
        </is>
      </c>
      <c r="B67" t="n">
        <v>10</v>
      </c>
      <c r="C67" t="inlineStr">
        <is>
          <t>No</t>
        </is>
      </c>
      <c r="F67" t="inlineStr">
        <is>
          <t>Thai / foreign cuisine – wrong flavour for a Chettinad paste</t>
        </is>
      </c>
      <c r="G67" t="inlineStr">
        <is>
          <t>Generic</t>
        </is>
      </c>
      <c r="H67" t="inlineStr">
        <is>
          <t>High / Commercial</t>
        </is>
      </c>
    </row>
    <row r="68">
      <c r="A68" t="inlineStr">
        <is>
          <t>blue dragon thai green curry paste</t>
        </is>
      </c>
      <c r="B68" t="n">
        <v>10</v>
      </c>
      <c r="C68" t="inlineStr">
        <is>
          <t>No</t>
        </is>
      </c>
      <c r="F68" t="inlineStr">
        <is>
          <t>Thai / foreign cuisine – wrong flavour for a Chettinad paste</t>
        </is>
      </c>
      <c r="G68" t="inlineStr">
        <is>
          <t>Generic</t>
        </is>
      </c>
      <c r="H68" t="inlineStr">
        <is>
          <t>High / Commercial</t>
        </is>
      </c>
    </row>
    <row r="69">
      <c r="A69" t="inlineStr">
        <is>
          <t>chettinad biryani masala paste</t>
        </is>
      </c>
      <c r="B69" t="n">
        <v>10</v>
      </c>
      <c r="C69" t="inlineStr">
        <is>
          <t>No</t>
        </is>
      </c>
      <c r="F69" t="inlineStr">
        <is>
          <t>Biryani – different dish</t>
        </is>
      </c>
      <c r="G69" t="inlineStr">
        <is>
          <t>Generic</t>
        </is>
      </c>
      <c r="H69" t="inlineStr">
        <is>
          <t>High / Commercial</t>
        </is>
      </c>
    </row>
    <row r="70">
      <c r="A70" t="inlineStr">
        <is>
          <t>chettinad kulambu masala powder</t>
        </is>
      </c>
      <c r="B70" t="n">
        <v>10</v>
      </c>
      <c r="C70" t="inlineStr">
        <is>
          <t>Yes</t>
        </is>
      </c>
      <c r="D70" t="inlineStr">
        <is>
          <t>Generic</t>
        </is>
      </c>
      <c r="E70" t="inlineStr">
        <is>
          <t>Chettinad</t>
        </is>
      </c>
      <c r="F70" t="inlineStr">
        <is>
          <t>Exact cuisine match</t>
        </is>
      </c>
      <c r="G70" t="inlineStr">
        <is>
          <t>Generic</t>
        </is>
      </c>
      <c r="H70" t="inlineStr">
        <is>
          <t>High / Commercial</t>
        </is>
      </c>
    </row>
    <row r="71">
      <c r="A71" t="inlineStr">
        <is>
          <t>chicken curry masala paste</t>
        </is>
      </c>
      <c r="B71" t="n">
        <v>10</v>
      </c>
      <c r="C71" t="inlineStr">
        <is>
          <t>Yes</t>
        </is>
      </c>
      <c r="D71" t="inlineStr">
        <is>
          <t>Generic</t>
        </is>
      </c>
      <c r="E71" t="inlineStr">
        <is>
          <t>Curry Paste / Ready to Cook</t>
        </is>
      </c>
      <c r="F71" t="inlineStr">
        <is>
          <t>Format match (paste / ready-to-cook)</t>
        </is>
      </c>
      <c r="G71" t="inlineStr">
        <is>
          <t>Generic</t>
        </is>
      </c>
      <c r="H71" t="inlineStr">
        <is>
          <t>High / Commercial</t>
        </is>
      </c>
    </row>
    <row r="72">
      <c r="A72" t="inlineStr">
        <is>
          <t>curry paste bottle</t>
        </is>
      </c>
      <c r="B72" t="n">
        <v>10</v>
      </c>
      <c r="C72" t="inlineStr">
        <is>
          <t>Yes</t>
        </is>
      </c>
      <c r="D72" t="inlineStr">
        <is>
          <t>Generic</t>
        </is>
      </c>
      <c r="E72" t="inlineStr">
        <is>
          <t>Curry Paste / Ready to Cook</t>
        </is>
      </c>
      <c r="F72" t="inlineStr">
        <is>
          <t>Format match (paste / ready-to-cook)</t>
        </is>
      </c>
      <c r="G72" t="inlineStr">
        <is>
          <t>Generic</t>
        </is>
      </c>
      <c r="H72" t="inlineStr">
        <is>
          <t>High / Commercial</t>
        </is>
      </c>
    </row>
    <row r="73">
      <c r="A73" t="inlineStr">
        <is>
          <t>dancing chef green curry paste</t>
        </is>
      </c>
      <c r="B73" t="n">
        <v>10</v>
      </c>
      <c r="C73" t="inlineStr">
        <is>
          <t>No</t>
        </is>
      </c>
      <c r="F73" t="inlineStr">
        <is>
          <t>Thai / foreign cuisine – wrong flavour for a Chettinad paste</t>
        </is>
      </c>
      <c r="G73" t="inlineStr">
        <is>
          <t>Generic</t>
        </is>
      </c>
      <c r="H73" t="inlineStr">
        <is>
          <t>High / Commercial</t>
        </is>
      </c>
    </row>
    <row r="74">
      <c r="A74" t="inlineStr">
        <is>
          <t>ferns curry paste</t>
        </is>
      </c>
      <c r="B74" t="n">
        <v>10</v>
      </c>
      <c r="C74" t="inlineStr">
        <is>
          <t>No</t>
        </is>
      </c>
      <c r="F74" t="inlineStr">
        <is>
          <t>Unclear brand/intent – verify before using</t>
        </is>
      </c>
      <c r="G74" t="inlineStr">
        <is>
          <t>Generic</t>
        </is>
      </c>
      <c r="H74" t="inlineStr">
        <is>
          <t>High / Commercial</t>
        </is>
      </c>
    </row>
    <row r="75">
      <c r="A75" t="inlineStr">
        <is>
          <t>ferns hot curry paste</t>
        </is>
      </c>
      <c r="B75" t="n">
        <v>10</v>
      </c>
      <c r="C75" t="inlineStr">
        <is>
          <t>No</t>
        </is>
      </c>
      <c r="F75" t="inlineStr">
        <is>
          <t>Unclear brand/intent – verify before using</t>
        </is>
      </c>
      <c r="G75" t="inlineStr">
        <is>
          <t>Generic</t>
        </is>
      </c>
      <c r="H75" t="inlineStr">
        <is>
          <t>High / Commercial</t>
        </is>
      </c>
    </row>
    <row r="76">
      <c r="A76" t="inlineStr">
        <is>
          <t>goan fish curry paste</t>
        </is>
      </c>
      <c r="B76" t="n">
        <v>10</v>
      </c>
      <c r="C76" t="inlineStr">
        <is>
          <t>No</t>
        </is>
      </c>
      <c r="F76" t="inlineStr">
        <is>
          <t>Other dish / other CURRYiT product – route elsewhere</t>
        </is>
      </c>
      <c r="G76" t="inlineStr">
        <is>
          <t>Generic</t>
        </is>
      </c>
      <c r="H76" t="inlineStr">
        <is>
          <t>High / Commercial</t>
        </is>
      </c>
    </row>
    <row r="77">
      <c r="A77" t="inlineStr">
        <is>
          <t>indonesian curry paste</t>
        </is>
      </c>
      <c r="B77" t="n">
        <v>10</v>
      </c>
      <c r="C77" t="inlineStr">
        <is>
          <t>No</t>
        </is>
      </c>
      <c r="F77" t="inlineStr">
        <is>
          <t>Thai / foreign cuisine – wrong flavour for a Chettinad paste</t>
        </is>
      </c>
      <c r="G77" t="inlineStr">
        <is>
          <t>Generic</t>
        </is>
      </c>
      <c r="H77" t="inlineStr">
        <is>
          <t>High / Commercial</t>
        </is>
      </c>
    </row>
    <row r="78">
      <c r="A78" t="inlineStr">
        <is>
          <t>instant chicken curry masala</t>
        </is>
      </c>
      <c r="B78" t="n">
        <v>10</v>
      </c>
      <c r="C78" t="inlineStr">
        <is>
          <t>Yes</t>
        </is>
      </c>
      <c r="D78" t="inlineStr">
        <is>
          <t>Generic</t>
        </is>
      </c>
      <c r="E78" t="inlineStr">
        <is>
          <t>Chicken Curry Masala</t>
        </is>
      </c>
      <c r="F78" t="inlineStr">
        <is>
          <t>Same cooking need (chicken curry)</t>
        </is>
      </c>
      <c r="G78" t="inlineStr">
        <is>
          <t>Generic</t>
        </is>
      </c>
      <c r="H78" t="inlineStr">
        <is>
          <t>High / Commercial</t>
        </is>
      </c>
    </row>
    <row r="79">
      <c r="A79" t="inlineStr">
        <is>
          <t>instant curry paste</t>
        </is>
      </c>
      <c r="B79" t="n">
        <v>10</v>
      </c>
      <c r="C79" t="inlineStr">
        <is>
          <t>Yes</t>
        </is>
      </c>
      <c r="D79" t="inlineStr">
        <is>
          <t>Generic</t>
        </is>
      </c>
      <c r="E79" t="inlineStr">
        <is>
          <t>Curry Paste / Ready to Cook</t>
        </is>
      </c>
      <c r="F79" t="inlineStr">
        <is>
          <t>Format match (paste / ready-to-cook)</t>
        </is>
      </c>
      <c r="G79" t="inlineStr">
        <is>
          <t>Generic</t>
        </is>
      </c>
      <c r="H79" t="inlineStr">
        <is>
          <t>High / Commercial</t>
        </is>
      </c>
    </row>
    <row r="80">
      <c r="A80" t="inlineStr">
        <is>
          <t>khao suey curry paste</t>
        </is>
      </c>
      <c r="B80" t="n">
        <v>10</v>
      </c>
      <c r="C80" t="inlineStr">
        <is>
          <t>No</t>
        </is>
      </c>
      <c r="F80" t="inlineStr">
        <is>
          <t>Thai / foreign cuisine – wrong flavour for a Chettinad paste</t>
        </is>
      </c>
      <c r="G80" t="inlineStr">
        <is>
          <t>Generic</t>
        </is>
      </c>
      <c r="H80" t="inlineStr">
        <is>
          <t>High / Commercial</t>
        </is>
      </c>
    </row>
    <row r="81">
      <c r="A81" t="inlineStr">
        <is>
          <t>korean cooking paste</t>
        </is>
      </c>
      <c r="B81" t="n">
        <v>10</v>
      </c>
      <c r="C81" t="inlineStr">
        <is>
          <t>No</t>
        </is>
      </c>
      <c r="F81" t="inlineStr">
        <is>
          <t>Thai / foreign cuisine – wrong flavour for a Chettinad paste</t>
        </is>
      </c>
      <c r="G81" t="inlineStr">
        <is>
          <t>Generic</t>
        </is>
      </c>
      <c r="H81" t="inlineStr">
        <is>
          <t>High / Commercial</t>
        </is>
      </c>
    </row>
    <row r="82">
      <c r="A82" t="inlineStr">
        <is>
          <t>lobo thai green curry paste</t>
        </is>
      </c>
      <c r="B82" t="n">
        <v>10</v>
      </c>
      <c r="C82" t="inlineStr">
        <is>
          <t>No</t>
        </is>
      </c>
      <c r="F82" t="inlineStr">
        <is>
          <t>Thai / foreign cuisine – wrong flavour for a Chettinad paste</t>
        </is>
      </c>
      <c r="G82" t="inlineStr">
        <is>
          <t>Generic</t>
        </is>
      </c>
      <c r="H82" t="inlineStr">
        <is>
          <t>High / Commercial</t>
        </is>
      </c>
    </row>
    <row r="83">
      <c r="A83" t="inlineStr">
        <is>
          <t>mint paste for cooking</t>
        </is>
      </c>
      <c r="B83" t="n">
        <v>10</v>
      </c>
      <c r="C83" t="inlineStr">
        <is>
          <t>No</t>
        </is>
      </c>
      <c r="F83" t="inlineStr">
        <is>
          <t>Single-ingredient paste, not a curry</t>
        </is>
      </c>
      <c r="G83" t="inlineStr">
        <is>
          <t>Generic</t>
        </is>
      </c>
      <c r="H83" t="inlineStr">
        <is>
          <t>High / Commercial</t>
        </is>
      </c>
    </row>
    <row r="84">
      <c r="A84" t="inlineStr">
        <is>
          <t>organic red thai curry paste</t>
        </is>
      </c>
      <c r="B84" t="n">
        <v>10</v>
      </c>
      <c r="C84" t="inlineStr">
        <is>
          <t>No</t>
        </is>
      </c>
      <c r="F84" t="inlineStr">
        <is>
          <t>Pack size / diet / unrelated product</t>
        </is>
      </c>
      <c r="G84" t="inlineStr">
        <is>
          <t>Generic</t>
        </is>
      </c>
      <c r="H84" t="inlineStr">
        <is>
          <t>High / Commercial</t>
        </is>
      </c>
    </row>
    <row r="85">
      <c r="A85" t="inlineStr">
        <is>
          <t>roopak chicken curry masala</t>
        </is>
      </c>
      <c r="B85" t="n">
        <v>10</v>
      </c>
      <c r="C85" t="inlineStr">
        <is>
          <t>Yes</t>
        </is>
      </c>
      <c r="D85" t="inlineStr">
        <is>
          <t>Competitor</t>
        </is>
      </c>
      <c r="E85" t="inlineStr">
        <is>
          <t>Chicken Curry Masala Brands</t>
        </is>
      </c>
      <c r="F85" t="inlineStr">
        <is>
          <t>Competitor brand, chicken curry masala</t>
        </is>
      </c>
      <c r="G85" t="inlineStr">
        <is>
          <t>Generic</t>
        </is>
      </c>
      <c r="H85" t="inlineStr">
        <is>
          <t>High / Commercial</t>
        </is>
      </c>
    </row>
    <row r="86">
      <c r="A86" t="inlineStr">
        <is>
          <t>singapore curry paste</t>
        </is>
      </c>
      <c r="B86" t="n">
        <v>10</v>
      </c>
      <c r="C86" t="inlineStr">
        <is>
          <t>No</t>
        </is>
      </c>
      <c r="F86" t="inlineStr">
        <is>
          <t>Thai / foreign cuisine – wrong flavour for a Chettinad paste</t>
        </is>
      </c>
      <c r="G86" t="inlineStr">
        <is>
          <t>Generic</t>
        </is>
      </c>
      <c r="H86" t="inlineStr">
        <is>
          <t>High / Commercial</t>
        </is>
      </c>
    </row>
    <row r="87">
      <c r="A87" t="inlineStr">
        <is>
          <t>spicy chicken curry masala</t>
        </is>
      </c>
      <c r="B87" t="n">
        <v>10</v>
      </c>
      <c r="C87" t="inlineStr">
        <is>
          <t>Yes</t>
        </is>
      </c>
      <c r="D87" t="inlineStr">
        <is>
          <t>Generic</t>
        </is>
      </c>
      <c r="E87" t="inlineStr">
        <is>
          <t>Chicken Curry Masala</t>
        </is>
      </c>
      <c r="F87" t="inlineStr">
        <is>
          <t>Same cooking need (chicken curry)</t>
        </is>
      </c>
      <c r="G87" t="inlineStr">
        <is>
          <t>Generic</t>
        </is>
      </c>
      <c r="H87" t="inlineStr">
        <is>
          <t>High / Commercial</t>
        </is>
      </c>
    </row>
    <row r="88">
      <c r="A88" t="inlineStr">
        <is>
          <t>tamarind paste for cooking</t>
        </is>
      </c>
      <c r="B88" t="n">
        <v>10</v>
      </c>
      <c r="C88" t="inlineStr">
        <is>
          <t>No</t>
        </is>
      </c>
      <c r="F88" t="inlineStr">
        <is>
          <t>Single-ingredient paste, not a curry</t>
        </is>
      </c>
      <c r="G88" t="inlineStr">
        <is>
          <t>Generic</t>
        </is>
      </c>
      <c r="H88" t="inlineStr">
        <is>
          <t>High / Commercial</t>
        </is>
      </c>
    </row>
    <row r="89">
      <c r="A89" t="inlineStr">
        <is>
          <t>tomato paste for cooking</t>
        </is>
      </c>
      <c r="B89" t="n">
        <v>10</v>
      </c>
      <c r="C89" t="inlineStr">
        <is>
          <t>No</t>
        </is>
      </c>
      <c r="F89" t="inlineStr">
        <is>
          <t>Single-ingredient paste, not a curry</t>
        </is>
      </c>
      <c r="G89" t="inlineStr">
        <is>
          <t>Generic</t>
        </is>
      </c>
      <c r="H89" t="inlineStr">
        <is>
          <t>High / Commercial</t>
        </is>
      </c>
    </row>
    <row r="90">
      <c r="A90" t="inlineStr">
        <is>
          <t>urban platter thai curry paste</t>
        </is>
      </c>
      <c r="B90" t="n">
        <v>10</v>
      </c>
      <c r="C90" t="inlineStr">
        <is>
          <t>No</t>
        </is>
      </c>
      <c r="F90" t="inlineStr">
        <is>
          <t>Thai / foreign cuisine – wrong flavour for a Chettinad paste</t>
        </is>
      </c>
      <c r="G90" t="inlineStr">
        <is>
          <t>Generic</t>
        </is>
      </c>
      <c r="H90" t="inlineStr">
        <is>
          <t>High / Commercial</t>
        </is>
      </c>
    </row>
    <row r="91">
      <c r="A91" t="inlineStr">
        <is>
          <t>veg thai green curry paste</t>
        </is>
      </c>
      <c r="B91" t="n">
        <v>10</v>
      </c>
      <c r="C91" t="inlineStr">
        <is>
          <t>No</t>
        </is>
      </c>
      <c r="F91" t="inlineStr">
        <is>
          <t>Thai / foreign cuisine – wrong flavour for a Chettinad paste</t>
        </is>
      </c>
      <c r="G91" t="inlineStr">
        <is>
          <t>Generic</t>
        </is>
      </c>
      <c r="H91" t="inlineStr">
        <is>
          <t>High / Commercial</t>
        </is>
      </c>
    </row>
    <row r="92">
      <c r="A92" t="inlineStr">
        <is>
          <t>8 oz 227 g</t>
        </is>
      </c>
      <c r="C92" t="inlineStr">
        <is>
          <t>No</t>
        </is>
      </c>
      <c r="F92" t="inlineStr">
        <is>
          <t>Pack size / diet / unrelated product</t>
        </is>
      </c>
      <c r="G92" t="inlineStr">
        <is>
          <t>Generic</t>
        </is>
      </c>
      <c r="H92" t="inlineStr">
        <is>
          <t>Generic / Mixed</t>
        </is>
      </c>
    </row>
    <row r="93">
      <c r="A93" t="inlineStr">
        <is>
          <t>amashaa masala ready to cook red curry</t>
        </is>
      </c>
      <c r="C93" t="inlineStr">
        <is>
          <t>No</t>
        </is>
      </c>
      <c r="F93" t="inlineStr">
        <is>
          <t>Thai / foreign cuisine – wrong flavour for a Chettinad paste</t>
        </is>
      </c>
      <c r="G93" t="inlineStr">
        <is>
          <t>Generic</t>
        </is>
      </c>
      <c r="H93" t="inlineStr">
        <is>
          <t>High / Commercial</t>
        </is>
      </c>
    </row>
    <row r="94">
      <c r="A94" t="inlineStr">
        <is>
          <t>andhra chicken curry masala</t>
        </is>
      </c>
      <c r="C94" t="inlineStr">
        <is>
          <t>No</t>
        </is>
      </c>
      <c r="F94" t="inlineStr">
        <is>
          <t>Other regional chicken masala – test only, not core</t>
        </is>
      </c>
      <c r="G94" t="inlineStr">
        <is>
          <t>Generic</t>
        </is>
      </c>
      <c r="H94" t="inlineStr">
        <is>
          <t>High / Commercial</t>
        </is>
      </c>
    </row>
    <row r="95">
      <c r="A95" t="inlineStr">
        <is>
          <t>andhra mutton curry masala paste</t>
        </is>
      </c>
      <c r="C95" t="inlineStr">
        <is>
          <t>No</t>
        </is>
      </c>
      <c r="F95" t="inlineStr">
        <is>
          <t>Other dish / other CURRYiT product – route elsewhere</t>
        </is>
      </c>
      <c r="G95" t="inlineStr">
        <is>
          <t>Generic</t>
        </is>
      </c>
      <c r="H95" t="inlineStr">
        <is>
          <t>High / Commercial</t>
        </is>
      </c>
    </row>
    <row r="96">
      <c r="A96" t="inlineStr">
        <is>
          <t>bengali chicken curry masala</t>
        </is>
      </c>
      <c r="C96" t="inlineStr">
        <is>
          <t>No</t>
        </is>
      </c>
      <c r="F96" t="inlineStr">
        <is>
          <t>Other regional chicken masala – test only, not core</t>
        </is>
      </c>
      <c r="G96" t="inlineStr">
        <is>
          <t>Generic</t>
        </is>
      </c>
      <c r="H96" t="inlineStr">
        <is>
          <t>High / Commercial</t>
        </is>
      </c>
    </row>
    <row r="97">
      <c r="A97" t="inlineStr">
        <is>
          <t>bengali mustard paste for cooking</t>
        </is>
      </c>
      <c r="C97" t="inlineStr">
        <is>
          <t>No</t>
        </is>
      </c>
      <c r="F97" t="inlineStr">
        <is>
          <t>Single-ingredient paste, not a curry</t>
        </is>
      </c>
      <c r="G97" t="inlineStr">
        <is>
          <t>Generic</t>
        </is>
      </c>
      <c r="H97" t="inlineStr">
        <is>
          <t>High / Commercial</t>
        </is>
      </c>
    </row>
    <row r="98">
      <c r="A98" t="inlineStr">
        <is>
          <t>bengali mustard paste packet by emamifor cooking</t>
        </is>
      </c>
      <c r="C98" t="inlineStr">
        <is>
          <t>No</t>
        </is>
      </c>
      <c r="F98" t="inlineStr">
        <is>
          <t>Single-ingredient paste, not a curry</t>
        </is>
      </c>
      <c r="G98" t="inlineStr">
        <is>
          <t>Generic</t>
        </is>
      </c>
      <c r="H98" t="inlineStr">
        <is>
          <t>High / Commercial</t>
        </is>
      </c>
    </row>
    <row r="99">
      <c r="A99" t="inlineStr">
        <is>
          <t>butter chicken cooking paste</t>
        </is>
      </c>
      <c r="C99" t="inlineStr">
        <is>
          <t>No</t>
        </is>
      </c>
      <c r="F99" t="inlineStr">
        <is>
          <t>Other dish / other CURRYiT product – route elsewhere</t>
        </is>
      </c>
      <c r="G99" t="inlineStr">
        <is>
          <t>Generic</t>
        </is>
      </c>
      <c r="H99" t="inlineStr">
        <is>
          <t>High / Commercial</t>
        </is>
      </c>
    </row>
    <row r="100">
      <c r="A100" t="inlineStr">
        <is>
          <t>chettinad biryani rice mix masala</t>
        </is>
      </c>
      <c r="C100" t="inlineStr">
        <is>
          <t>No</t>
        </is>
      </c>
      <c r="F100" t="inlineStr">
        <is>
          <t>Biryani – different dish</t>
        </is>
      </c>
      <c r="G100" t="inlineStr">
        <is>
          <t>Generic</t>
        </is>
      </c>
      <c r="H100" t="inlineStr">
        <is>
          <t>High / Commercial</t>
        </is>
      </c>
    </row>
    <row r="101">
      <c r="A101" t="inlineStr">
        <is>
          <t>chettinad masala dry</t>
        </is>
      </c>
      <c r="C101" t="inlineStr">
        <is>
          <t>Yes</t>
        </is>
      </c>
      <c r="D101" t="inlineStr">
        <is>
          <t>Generic</t>
        </is>
      </c>
      <c r="E101" t="inlineStr">
        <is>
          <t>Chettinad</t>
        </is>
      </c>
      <c r="F101" t="inlineStr">
        <is>
          <t>Exact cuisine match</t>
        </is>
      </c>
      <c r="G101" t="inlineStr">
        <is>
          <t>Generic</t>
        </is>
      </c>
      <c r="H101" t="inlineStr">
        <is>
          <t>High / Commercial</t>
        </is>
      </c>
    </row>
    <row r="102">
      <c r="A102" t="inlineStr">
        <is>
          <t>chettinad masala tamil nadu</t>
        </is>
      </c>
      <c r="C102" t="inlineStr">
        <is>
          <t>Yes</t>
        </is>
      </c>
      <c r="D102" t="inlineStr">
        <is>
          <t>Generic</t>
        </is>
      </c>
      <c r="E102" t="inlineStr">
        <is>
          <t>Chettinad</t>
        </is>
      </c>
      <c r="F102" t="inlineStr">
        <is>
          <t>Exact cuisine match</t>
        </is>
      </c>
      <c r="G102" t="inlineStr">
        <is>
          <t>Generic</t>
        </is>
      </c>
      <c r="H102" t="inlineStr">
        <is>
          <t>High / Commercial</t>
        </is>
      </c>
    </row>
    <row r="103">
      <c r="A103" t="inlineStr">
        <is>
          <t>chicken curry masala 1 kg</t>
        </is>
      </c>
      <c r="C103" t="inlineStr">
        <is>
          <t>No</t>
        </is>
      </c>
      <c r="F103" t="inlineStr">
        <is>
          <t>Pack size / diet / unrelated product</t>
        </is>
      </c>
      <c r="G103" t="inlineStr">
        <is>
          <t>Generic</t>
        </is>
      </c>
      <c r="H103" t="inlineStr">
        <is>
          <t>High / Commercial</t>
        </is>
      </c>
    </row>
    <row r="104">
      <c r="A104" t="inlineStr">
        <is>
          <t>chicken curry masala 500gm</t>
        </is>
      </c>
      <c r="C104" t="inlineStr">
        <is>
          <t>No</t>
        </is>
      </c>
      <c r="F104" t="inlineStr">
        <is>
          <t>Pack size / diet / unrelated product</t>
        </is>
      </c>
      <c r="G104" t="inlineStr">
        <is>
          <t>Generic</t>
        </is>
      </c>
      <c r="H104" t="inlineStr">
        <is>
          <t>High / Commercial</t>
        </is>
      </c>
    </row>
    <row r="105">
      <c r="A105" t="inlineStr">
        <is>
          <t>chicken curry masala organic</t>
        </is>
      </c>
      <c r="C105" t="inlineStr">
        <is>
          <t>No</t>
        </is>
      </c>
      <c r="F105" t="inlineStr">
        <is>
          <t>Pack size / diet / unrelated product</t>
        </is>
      </c>
      <c r="G105" t="inlineStr">
        <is>
          <t>Generic</t>
        </is>
      </c>
      <c r="H105" t="inlineStr">
        <is>
          <t>High / Commercial</t>
        </is>
      </c>
    </row>
    <row r="106">
      <c r="A106" t="inlineStr">
        <is>
          <t>chicken curry paste ready to cook</t>
        </is>
      </c>
      <c r="C106" t="inlineStr">
        <is>
          <t>Yes</t>
        </is>
      </c>
      <c r="D106" t="inlineStr">
        <is>
          <t>Generic</t>
        </is>
      </c>
      <c r="E106" t="inlineStr">
        <is>
          <t>Curry Paste / Ready to Cook</t>
        </is>
      </c>
      <c r="F106" t="inlineStr">
        <is>
          <t>Format match (paste / ready-to-cook)</t>
        </is>
      </c>
      <c r="G106" t="inlineStr">
        <is>
          <t>Generic</t>
        </is>
      </c>
      <c r="H106" t="inlineStr">
        <is>
          <t>High / Commercial</t>
        </is>
      </c>
    </row>
    <row r="107">
      <c r="A107" t="inlineStr">
        <is>
          <t>chilli garlic paste for indian cooking</t>
        </is>
      </c>
      <c r="C107" t="inlineStr">
        <is>
          <t>No</t>
        </is>
      </c>
      <c r="F107" t="inlineStr">
        <is>
          <t>Single-ingredient paste, not a curry</t>
        </is>
      </c>
      <c r="G107" t="inlineStr">
        <is>
          <t>Generic</t>
        </is>
      </c>
      <c r="H107" t="inlineStr">
        <is>
          <t>High / Commercial</t>
        </is>
      </c>
    </row>
    <row r="108">
      <c r="A108" t="inlineStr">
        <is>
          <t>chilli paste for cooking</t>
        </is>
      </c>
      <c r="C108" t="inlineStr">
        <is>
          <t>No</t>
        </is>
      </c>
      <c r="F108" t="inlineStr">
        <is>
          <t>Single-ingredient paste, not a curry</t>
        </is>
      </c>
      <c r="G108" t="inlineStr">
        <is>
          <t>Generic</t>
        </is>
      </c>
      <c r="H108" t="inlineStr">
        <is>
          <t>High / Commercial</t>
        </is>
      </c>
    </row>
    <row r="109">
      <c r="A109" t="inlineStr">
        <is>
          <t>coconut paste for cooking thai food</t>
        </is>
      </c>
      <c r="C109" t="inlineStr">
        <is>
          <t>No</t>
        </is>
      </c>
      <c r="F109" t="inlineStr">
        <is>
          <t>Thai / foreign cuisine – wrong flavour for a Chettinad paste</t>
        </is>
      </c>
      <c r="G109" t="inlineStr">
        <is>
          <t>Generic</t>
        </is>
      </c>
      <c r="H109" t="inlineStr">
        <is>
          <t>High / Commercial</t>
        </is>
      </c>
    </row>
    <row r="110">
      <c r="A110" t="inlineStr">
        <is>
          <t>cooking masala paste</t>
        </is>
      </c>
      <c r="C110" t="inlineStr">
        <is>
          <t>Yes</t>
        </is>
      </c>
      <c r="D110" t="inlineStr">
        <is>
          <t>Generic</t>
        </is>
      </c>
      <c r="E110" t="inlineStr">
        <is>
          <t>Curry Paste / Ready to Cook</t>
        </is>
      </c>
      <c r="F110" t="inlineStr">
        <is>
          <t>Format match (paste / ready-to-cook)</t>
        </is>
      </c>
      <c r="G110" t="inlineStr">
        <is>
          <t>Generic</t>
        </is>
      </c>
      <c r="H110" t="inlineStr">
        <is>
          <t>High / Commercial</t>
        </is>
      </c>
    </row>
    <row r="111">
      <c r="A111" t="inlineStr">
        <is>
          <t>cooking paste veg</t>
        </is>
      </c>
      <c r="C111" t="inlineStr">
        <is>
          <t>No</t>
        </is>
      </c>
      <c r="F111" t="inlineStr">
        <is>
          <t>Veg / sauces intent – weak match for chicken paste</t>
        </is>
      </c>
      <c r="G111" t="inlineStr">
        <is>
          <t>Generic</t>
        </is>
      </c>
      <c r="H111" t="inlineStr">
        <is>
          <t>High / Commercial</t>
        </is>
      </c>
    </row>
    <row r="112">
      <c r="A112" t="inlineStr">
        <is>
          <t>cooking pastes &amp; sauces</t>
        </is>
      </c>
      <c r="C112" t="inlineStr">
        <is>
          <t>No</t>
        </is>
      </c>
      <c r="F112" t="inlineStr">
        <is>
          <t>Veg / sauces intent – weak match for chicken paste</t>
        </is>
      </c>
      <c r="G112" t="inlineStr">
        <is>
          <t>Generic</t>
        </is>
      </c>
      <c r="H112" t="inlineStr">
        <is>
          <t>High / Commercial</t>
        </is>
      </c>
    </row>
    <row r="113">
      <c r="A113" t="inlineStr">
        <is>
          <t>curry leaves rice mix paste</t>
        </is>
      </c>
      <c r="C113" t="inlineStr">
        <is>
          <t>No</t>
        </is>
      </c>
      <c r="F113" t="inlineStr">
        <is>
          <t>Pack size / diet / unrelated product</t>
        </is>
      </c>
      <c r="G113" t="inlineStr">
        <is>
          <t>Generic</t>
        </is>
      </c>
      <c r="H113" t="inlineStr">
        <is>
          <t>High / Commercial</t>
        </is>
      </c>
    </row>
    <row r="114">
      <c r="A114" t="inlineStr">
        <is>
          <t>curry leaves rice mix paste sweet karam coffee</t>
        </is>
      </c>
      <c r="C114" t="inlineStr">
        <is>
          <t>No</t>
        </is>
      </c>
      <c r="F114" t="inlineStr">
        <is>
          <t>Pack size / diet / unrelated product</t>
        </is>
      </c>
      <c r="G114" t="inlineStr">
        <is>
          <t>Generic</t>
        </is>
      </c>
      <c r="H114" t="inlineStr">
        <is>
          <t>High / Commercial</t>
        </is>
      </c>
    </row>
    <row r="115">
      <c r="A115" t="inlineStr">
        <is>
          <t>curry leaves rice paste</t>
        </is>
      </c>
      <c r="C115" t="inlineStr">
        <is>
          <t>No</t>
        </is>
      </c>
      <c r="F115" t="inlineStr">
        <is>
          <t>Pack size / diet / unrelated product</t>
        </is>
      </c>
      <c r="G115" t="inlineStr">
        <is>
          <t>Generic</t>
        </is>
      </c>
      <c r="H115" t="inlineStr">
        <is>
          <t>High / Commercial</t>
        </is>
      </c>
    </row>
    <row r="116">
      <c r="A116" t="inlineStr">
        <is>
          <t>curry paste 1kg</t>
        </is>
      </c>
      <c r="C116" t="inlineStr">
        <is>
          <t>No</t>
        </is>
      </c>
      <c r="F116" t="inlineStr">
        <is>
          <t>Pack size / diet / unrelated product</t>
        </is>
      </c>
      <c r="G116" t="inlineStr">
        <is>
          <t>Generic</t>
        </is>
      </c>
      <c r="H116" t="inlineStr">
        <is>
          <t>High / Commercial</t>
        </is>
      </c>
    </row>
    <row r="117">
      <c r="A117" t="inlineStr">
        <is>
          <t>curry paste for cooking</t>
        </is>
      </c>
      <c r="C117" t="inlineStr">
        <is>
          <t>Yes</t>
        </is>
      </c>
      <c r="D117" t="inlineStr">
        <is>
          <t>Generic</t>
        </is>
      </c>
      <c r="E117" t="inlineStr">
        <is>
          <t>Curry Paste / Ready to Cook</t>
        </is>
      </c>
      <c r="F117" t="inlineStr">
        <is>
          <t>Format match (paste / ready-to-cook)</t>
        </is>
      </c>
      <c r="G117" t="inlineStr">
        <is>
          <t>Generic</t>
        </is>
      </c>
      <c r="H117" t="inlineStr">
        <is>
          <t>High / Commercial</t>
        </is>
      </c>
    </row>
    <row r="118">
      <c r="A118" t="inlineStr">
        <is>
          <t>curry paste for rice</t>
        </is>
      </c>
      <c r="C118" t="inlineStr">
        <is>
          <t>No</t>
        </is>
      </c>
      <c r="F118" t="inlineStr">
        <is>
          <t>Pack size / diet / unrelated product</t>
        </is>
      </c>
      <c r="G118" t="inlineStr">
        <is>
          <t>Generic</t>
        </is>
      </c>
      <c r="H118" t="inlineStr">
        <is>
          <t>High / Commercial</t>
        </is>
      </c>
    </row>
    <row r="119">
      <c r="A119" t="inlineStr">
        <is>
          <t>curry paste veg</t>
        </is>
      </c>
      <c r="C119" t="inlineStr">
        <is>
          <t>No</t>
        </is>
      </c>
      <c r="F119" t="inlineStr">
        <is>
          <t>Veg / sauces intent – weak match for chicken paste</t>
        </is>
      </c>
      <c r="G119" t="inlineStr">
        <is>
          <t>Generic</t>
        </is>
      </c>
      <c r="H119" t="inlineStr">
        <is>
          <t>High / Commercial</t>
        </is>
      </c>
    </row>
    <row r="120">
      <c r="A120" t="inlineStr">
        <is>
          <t>curry rogan josh paste</t>
        </is>
      </c>
      <c r="C120" t="inlineStr">
        <is>
          <t>No</t>
        </is>
      </c>
      <c r="F120" t="inlineStr">
        <is>
          <t>Other dish / other CURRYiT product – route elsewhere</t>
        </is>
      </c>
      <c r="G120" t="inlineStr">
        <is>
          <t>Generic</t>
        </is>
      </c>
      <c r="H120" t="inlineStr">
        <is>
          <t>High / Commercial</t>
        </is>
      </c>
    </row>
    <row r="121">
      <c r="A121" t="inlineStr">
        <is>
          <t>dabur tamarind paste for cooking</t>
        </is>
      </c>
      <c r="C121" t="inlineStr">
        <is>
          <t>No</t>
        </is>
      </c>
      <c r="F121" t="inlineStr">
        <is>
          <t>Single-ingredient paste, not a curry</t>
        </is>
      </c>
      <c r="G121" t="inlineStr">
        <is>
          <t>Generic</t>
        </is>
      </c>
      <c r="H121" t="inlineStr">
        <is>
          <t>High / Commercial</t>
        </is>
      </c>
    </row>
    <row r="122">
      <c r="A122" t="inlineStr">
        <is>
          <t>fish curry masala ready to cook</t>
        </is>
      </c>
      <c r="C122" t="inlineStr">
        <is>
          <t>No</t>
        </is>
      </c>
      <c r="F122" t="inlineStr">
        <is>
          <t>Other dish / other CURRYiT product – route elsewhere</t>
        </is>
      </c>
      <c r="G122" t="inlineStr">
        <is>
          <t>Generic</t>
        </is>
      </c>
      <c r="H122" t="inlineStr">
        <is>
          <t>High / Commercial</t>
        </is>
      </c>
    </row>
    <row r="123">
      <c r="A123" t="inlineStr">
        <is>
          <t>fish curry paste ready to cook</t>
        </is>
      </c>
      <c r="C123" t="inlineStr">
        <is>
          <t>No</t>
        </is>
      </c>
      <c r="F123" t="inlineStr">
        <is>
          <t>Other dish / other CURRYiT product – route elsewhere</t>
        </is>
      </c>
      <c r="G123" t="inlineStr">
        <is>
          <t>Generic</t>
        </is>
      </c>
      <c r="H123" t="inlineStr">
        <is>
          <t>High / Commercial</t>
        </is>
      </c>
    </row>
    <row r="124">
      <c r="A124" t="inlineStr">
        <is>
          <t>goa fish curry paste</t>
        </is>
      </c>
      <c r="C124" t="inlineStr">
        <is>
          <t>No</t>
        </is>
      </c>
      <c r="F124" t="inlineStr">
        <is>
          <t>Other dish / other CURRYiT product – route elsewhere</t>
        </is>
      </c>
      <c r="G124" t="inlineStr">
        <is>
          <t>Generic</t>
        </is>
      </c>
      <c r="H124" t="inlineStr">
        <is>
          <t>High / Commercial</t>
        </is>
      </c>
    </row>
    <row r="125">
      <c r="A125" t="inlineStr">
        <is>
          <t>goan fish curry masala paste</t>
        </is>
      </c>
      <c r="C125" t="inlineStr">
        <is>
          <t>No</t>
        </is>
      </c>
      <c r="F125" t="inlineStr">
        <is>
          <t>Other dish / other CURRYiT product – route elsewhere</t>
        </is>
      </c>
      <c r="G125" t="inlineStr">
        <is>
          <t>Generic</t>
        </is>
      </c>
      <c r="H125" t="inlineStr">
        <is>
          <t>High / Commercial</t>
        </is>
      </c>
    </row>
    <row r="126">
      <c r="A126" t="inlineStr">
        <is>
          <t>green chilli paste for cooking</t>
        </is>
      </c>
      <c r="C126" t="inlineStr">
        <is>
          <t>No</t>
        </is>
      </c>
      <c r="F126" t="inlineStr">
        <is>
          <t>Single-ingredient paste, not a curry</t>
        </is>
      </c>
      <c r="G126" t="inlineStr">
        <is>
          <t>Generic</t>
        </is>
      </c>
      <c r="H126" t="inlineStr">
        <is>
          <t>High / Commercial</t>
        </is>
      </c>
    </row>
    <row r="127">
      <c r="A127" t="inlineStr">
        <is>
          <t>green thai curry paste jain</t>
        </is>
      </c>
      <c r="C127" t="inlineStr">
        <is>
          <t>No</t>
        </is>
      </c>
      <c r="F127" t="inlineStr">
        <is>
          <t>Jain / no onion-garlic; CURRYiT contains onion &amp; garlic</t>
        </is>
      </c>
      <c r="G127" t="inlineStr">
        <is>
          <t>Generic</t>
        </is>
      </c>
      <c r="H127" t="inlineStr">
        <is>
          <t>High / Commercial</t>
        </is>
      </c>
    </row>
    <row r="128">
      <c r="A128" t="inlineStr">
        <is>
          <t>imli paste for cooking</t>
        </is>
      </c>
      <c r="C128" t="inlineStr">
        <is>
          <t>No</t>
        </is>
      </c>
      <c r="F128" t="inlineStr">
        <is>
          <t>Single-ingredient paste, not a curry</t>
        </is>
      </c>
      <c r="G128" t="inlineStr">
        <is>
          <t>Generic</t>
        </is>
      </c>
      <c r="H128" t="inlineStr">
        <is>
          <t>High / Commercial</t>
        </is>
      </c>
    </row>
    <row r="129">
      <c r="A129" t="inlineStr">
        <is>
          <t>india gate classic chettinad chicken masala gravy</t>
        </is>
      </c>
      <c r="C129" t="inlineStr">
        <is>
          <t>Yes</t>
        </is>
      </c>
      <c r="D129" t="inlineStr">
        <is>
          <t>Competitor</t>
        </is>
      </c>
      <c r="E129" t="inlineStr">
        <is>
          <t>Chettinad Competitors</t>
        </is>
      </c>
      <c r="F129" t="inlineStr">
        <is>
          <t>Competitor brand + Chettinad</t>
        </is>
      </c>
      <c r="G129" t="inlineStr">
        <is>
          <t>Generic</t>
        </is>
      </c>
      <c r="H129" t="inlineStr">
        <is>
          <t>High / Commercial</t>
        </is>
      </c>
    </row>
    <row r="130">
      <c r="A130" t="inlineStr">
        <is>
          <t>indian curry paste combo</t>
        </is>
      </c>
      <c r="C130" t="inlineStr">
        <is>
          <t>Yes</t>
        </is>
      </c>
      <c r="D130" t="inlineStr">
        <is>
          <t>Generic</t>
        </is>
      </c>
      <c r="E130" t="inlineStr">
        <is>
          <t>Curry Paste / Ready to Cook</t>
        </is>
      </c>
      <c r="F130" t="inlineStr">
        <is>
          <t>Format match (paste / ready-to-cook)</t>
        </is>
      </c>
      <c r="G130" t="inlineStr">
        <is>
          <t>Generic</t>
        </is>
      </c>
      <c r="H130" t="inlineStr">
        <is>
          <t>High / Commercial</t>
        </is>
      </c>
    </row>
    <row r="131">
      <c r="A131" t="inlineStr">
        <is>
          <t>jain khowsuey curry paste</t>
        </is>
      </c>
      <c r="C131" t="inlineStr">
        <is>
          <t>No</t>
        </is>
      </c>
      <c r="F131" t="inlineStr">
        <is>
          <t>Jain / no onion-garlic; CURRYiT contains onion &amp; garlic</t>
        </is>
      </c>
      <c r="G131" t="inlineStr">
        <is>
          <t>Generic</t>
        </is>
      </c>
      <c r="H131" t="inlineStr">
        <is>
          <t>High / Commercial</t>
        </is>
      </c>
    </row>
    <row r="132">
      <c r="A132" t="inlineStr">
        <is>
          <t>jain red thai curry paste</t>
        </is>
      </c>
      <c r="C132" t="inlineStr">
        <is>
          <t>No</t>
        </is>
      </c>
      <c r="F132" t="inlineStr">
        <is>
          <t>Jain / no onion-garlic; CURRYiT contains onion &amp; garlic</t>
        </is>
      </c>
      <c r="G132" t="inlineStr">
        <is>
          <t>Generic</t>
        </is>
      </c>
      <c r="H132" t="inlineStr">
        <is>
          <t>High / Commercial</t>
        </is>
      </c>
    </row>
    <row r="133">
      <c r="A133" t="inlineStr">
        <is>
          <t>jain red thai curry paste no onion no garlic</t>
        </is>
      </c>
      <c r="C133" t="inlineStr">
        <is>
          <t>No</t>
        </is>
      </c>
      <c r="F133" t="inlineStr">
        <is>
          <t>Jain / no onion-garlic; CURRYiT contains onion &amp; garlic</t>
        </is>
      </c>
      <c r="G133" t="inlineStr">
        <is>
          <t>Generic</t>
        </is>
      </c>
      <c r="H133" t="inlineStr">
        <is>
          <t>High / Commercial</t>
        </is>
      </c>
    </row>
    <row r="134">
      <c r="A134" t="inlineStr">
        <is>
          <t>jain thai curry paste no onion no garlic</t>
        </is>
      </c>
      <c r="C134" t="inlineStr">
        <is>
          <t>No</t>
        </is>
      </c>
      <c r="F134" t="inlineStr">
        <is>
          <t>Jain / no onion-garlic; CURRYiT contains onion &amp; garlic</t>
        </is>
      </c>
      <c r="G134" t="inlineStr">
        <is>
          <t>Generic</t>
        </is>
      </c>
      <c r="H134" t="inlineStr">
        <is>
          <t>High / Commercial</t>
        </is>
      </c>
    </row>
    <row r="135">
      <c r="A135" t="inlineStr">
        <is>
          <t>jain thai green curry paste no onion no garlic</t>
        </is>
      </c>
      <c r="C135" t="inlineStr">
        <is>
          <t>No</t>
        </is>
      </c>
      <c r="F135" t="inlineStr">
        <is>
          <t>Jain / no onion-garlic; CURRYiT contains onion &amp; garlic</t>
        </is>
      </c>
      <c r="G135" t="inlineStr">
        <is>
          <t>Generic</t>
        </is>
      </c>
      <c r="H135" t="inlineStr">
        <is>
          <t>High / Commercial</t>
        </is>
      </c>
    </row>
    <row r="136">
      <c r="A136" t="inlineStr">
        <is>
          <t>kaju paste for cooking</t>
        </is>
      </c>
      <c r="C136" t="inlineStr">
        <is>
          <t>No</t>
        </is>
      </c>
      <c r="F136" t="inlineStr">
        <is>
          <t>Single-ingredient paste, not a curry</t>
        </is>
      </c>
      <c r="G136" t="inlineStr">
        <is>
          <t>Generic</t>
        </is>
      </c>
      <c r="H136" t="inlineStr">
        <is>
          <t>High / Commercial</t>
        </is>
      </c>
    </row>
    <row r="137">
      <c r="A137" t="inlineStr">
        <is>
          <t>kerala chicken curry masala</t>
        </is>
      </c>
      <c r="C137" t="inlineStr">
        <is>
          <t>No</t>
        </is>
      </c>
      <c r="F137" t="inlineStr">
        <is>
          <t>Other regional chicken masala – test only, not core</t>
        </is>
      </c>
      <c r="G137" t="inlineStr">
        <is>
          <t>Generic</t>
        </is>
      </c>
      <c r="H137" t="inlineStr">
        <is>
          <t>High / Commercial</t>
        </is>
      </c>
    </row>
    <row r="138">
      <c r="A138" t="inlineStr">
        <is>
          <t>kerala fish curry paste</t>
        </is>
      </c>
      <c r="C138" t="inlineStr">
        <is>
          <t>No</t>
        </is>
      </c>
      <c r="F138" t="inlineStr">
        <is>
          <t>Other dish / other CURRYiT product – route elsewhere</t>
        </is>
      </c>
      <c r="G138" t="inlineStr">
        <is>
          <t>Generic</t>
        </is>
      </c>
      <c r="H138" t="inlineStr">
        <is>
          <t>High / Commercial</t>
        </is>
      </c>
    </row>
    <row r="139">
      <c r="A139" t="inlineStr">
        <is>
          <t>khowsuey curry paste burma burma</t>
        </is>
      </c>
      <c r="C139" t="inlineStr">
        <is>
          <t>No</t>
        </is>
      </c>
      <c r="F139" t="inlineStr">
        <is>
          <t>Thai / foreign cuisine – wrong flavour for a Chettinad paste</t>
        </is>
      </c>
      <c r="G139" t="inlineStr">
        <is>
          <t>Generic</t>
        </is>
      </c>
      <c r="H139" t="inlineStr">
        <is>
          <t>High / Commercial</t>
        </is>
      </c>
    </row>
    <row r="140">
      <c r="A140" t="inlineStr">
        <is>
          <t>killer chicken gravy masala curry no 9211</t>
        </is>
      </c>
      <c r="C140" t="inlineStr">
        <is>
          <t>No</t>
        </is>
      </c>
      <c r="F140" t="inlineStr">
        <is>
          <t>Unclear brand/intent – verify before using</t>
        </is>
      </c>
      <c r="G140" t="inlineStr">
        <is>
          <t>Generic</t>
        </is>
      </c>
      <c r="H140" t="inlineStr">
        <is>
          <t>High / Commercial</t>
        </is>
      </c>
    </row>
    <row r="141">
      <c r="A141" t="inlineStr">
        <is>
          <t>lemon grass paste for cooking</t>
        </is>
      </c>
      <c r="C141" t="inlineStr">
        <is>
          <t>No</t>
        </is>
      </c>
      <c r="F141" t="inlineStr">
        <is>
          <t>Single-ingredient paste, not a curry</t>
        </is>
      </c>
      <c r="G141" t="inlineStr">
        <is>
          <t>Generic</t>
        </is>
      </c>
      <c r="H141" t="inlineStr">
        <is>
          <t>High / Commercial</t>
        </is>
      </c>
    </row>
    <row r="142">
      <c r="A142" t="inlineStr">
        <is>
          <t>moi soi green thai curry paste</t>
        </is>
      </c>
      <c r="C142" t="inlineStr">
        <is>
          <t>No</t>
        </is>
      </c>
      <c r="F142" t="inlineStr">
        <is>
          <t>Thai / foreign cuisine – wrong flavour for a Chettinad paste</t>
        </is>
      </c>
      <c r="G142" t="inlineStr">
        <is>
          <t>Generic</t>
        </is>
      </c>
      <c r="H142" t="inlineStr">
        <is>
          <t>High / Commercial</t>
        </is>
      </c>
    </row>
    <row r="143">
      <c r="A143" t="inlineStr">
        <is>
          <t>moi soi thai curry paste</t>
        </is>
      </c>
      <c r="C143" t="inlineStr">
        <is>
          <t>No</t>
        </is>
      </c>
      <c r="F143" t="inlineStr">
        <is>
          <t>Thai / foreign cuisine – wrong flavour for a Chettinad paste</t>
        </is>
      </c>
      <c r="G143" t="inlineStr">
        <is>
          <t>Generic</t>
        </is>
      </c>
      <c r="H143" t="inlineStr">
        <is>
          <t>High / Commercial</t>
        </is>
      </c>
    </row>
    <row r="144">
      <c r="A144" t="inlineStr">
        <is>
          <t>mustard paste for fish curry</t>
        </is>
      </c>
      <c r="C144" t="inlineStr">
        <is>
          <t>No</t>
        </is>
      </c>
      <c r="F144" t="inlineStr">
        <is>
          <t>Other dish / other CURRYiT product – route elsewhere</t>
        </is>
      </c>
      <c r="G144" t="inlineStr">
        <is>
          <t>Generic</t>
        </is>
      </c>
      <c r="H144" t="inlineStr">
        <is>
          <t>High / Commercial</t>
        </is>
      </c>
    </row>
    <row r="145">
      <c r="A145" t="inlineStr">
        <is>
          <t>namjai thai green curry paste</t>
        </is>
      </c>
      <c r="C145" t="inlineStr">
        <is>
          <t>No</t>
        </is>
      </c>
      <c r="F145" t="inlineStr">
        <is>
          <t>Thai / foreign cuisine – wrong flavour for a Chettinad paste</t>
        </is>
      </c>
      <c r="G145" t="inlineStr">
        <is>
          <t>Generic</t>
        </is>
      </c>
      <c r="H145" t="inlineStr">
        <is>
          <t>High / Commercial</t>
        </is>
      </c>
    </row>
    <row r="146">
      <c r="A146" t="inlineStr">
        <is>
          <t>namjhai green curry paste</t>
        </is>
      </c>
      <c r="C146" t="inlineStr">
        <is>
          <t>No</t>
        </is>
      </c>
      <c r="F146" t="inlineStr">
        <is>
          <t>Thai / foreign cuisine – wrong flavour for a Chettinad paste</t>
        </is>
      </c>
      <c r="G146" t="inlineStr">
        <is>
          <t>Generic</t>
        </is>
      </c>
      <c r="H146" t="inlineStr">
        <is>
          <t>High / Commercial</t>
        </is>
      </c>
    </row>
    <row r="147">
      <c r="A147" t="inlineStr">
        <is>
          <t>paste hing for cooking</t>
        </is>
      </c>
      <c r="C147" t="inlineStr">
        <is>
          <t>No</t>
        </is>
      </c>
      <c r="F147" t="inlineStr">
        <is>
          <t>Single-ingredient paste, not a curry</t>
        </is>
      </c>
      <c r="G147" t="inlineStr">
        <is>
          <t>Generic</t>
        </is>
      </c>
      <c r="H147" t="inlineStr">
        <is>
          <t>High / Commercial</t>
        </is>
      </c>
    </row>
    <row r="148">
      <c r="A148" t="inlineStr">
        <is>
          <t>pure &amp; sure organic red thai curry paste</t>
        </is>
      </c>
      <c r="C148" t="inlineStr">
        <is>
          <t>No</t>
        </is>
      </c>
      <c r="F148" t="inlineStr">
        <is>
          <t>Pack size / diet / unrelated product</t>
        </is>
      </c>
      <c r="G148" t="inlineStr">
        <is>
          <t>Generic</t>
        </is>
      </c>
      <c r="H148" t="inlineStr">
        <is>
          <t>High / Commercial</t>
        </is>
      </c>
    </row>
    <row r="149">
      <c r="A149" t="inlineStr">
        <is>
          <t>pure and sure thai curry paste</t>
        </is>
      </c>
      <c r="C149" t="inlineStr">
        <is>
          <t>No</t>
        </is>
      </c>
      <c r="F149" t="inlineStr">
        <is>
          <t>Thai / foreign cuisine – wrong flavour for a Chettinad paste</t>
        </is>
      </c>
      <c r="G149" t="inlineStr">
        <is>
          <t>Generic</t>
        </is>
      </c>
      <c r="H149" t="inlineStr">
        <is>
          <t>High / Commercial</t>
        </is>
      </c>
    </row>
    <row r="150">
      <c r="A150" t="inlineStr">
        <is>
          <t>ready to cook curry mix</t>
        </is>
      </c>
      <c r="C150" t="inlineStr">
        <is>
          <t>Yes</t>
        </is>
      </c>
      <c r="D150" t="inlineStr">
        <is>
          <t>Generic</t>
        </is>
      </c>
      <c r="E150" t="inlineStr">
        <is>
          <t>Curry Paste / Ready to Cook</t>
        </is>
      </c>
      <c r="F150" t="inlineStr">
        <is>
          <t>Format match (paste / ready-to-cook)</t>
        </is>
      </c>
      <c r="G150" t="inlineStr">
        <is>
          <t>Generic</t>
        </is>
      </c>
      <c r="H150" t="inlineStr">
        <is>
          <t>High / Commercial</t>
        </is>
      </c>
    </row>
    <row r="151">
      <c r="A151" t="inlineStr">
        <is>
          <t>ready to cook kerala curry</t>
        </is>
      </c>
      <c r="C151" t="inlineStr">
        <is>
          <t>No</t>
        </is>
      </c>
      <c r="F151" t="inlineStr">
        <is>
          <t>Other dish / other CURRYiT product – route elsewhere</t>
        </is>
      </c>
      <c r="G151" t="inlineStr">
        <is>
          <t>Generic</t>
        </is>
      </c>
      <c r="H151" t="inlineStr">
        <is>
          <t>High / Commercial</t>
        </is>
      </c>
    </row>
    <row r="152">
      <c r="A152" t="inlineStr">
        <is>
          <t>ready to cook thai curry</t>
        </is>
      </c>
      <c r="C152" t="inlineStr">
        <is>
          <t>No</t>
        </is>
      </c>
      <c r="F152" t="inlineStr">
        <is>
          <t>Thai / foreign cuisine – wrong flavour for a Chettinad paste</t>
        </is>
      </c>
      <c r="G152" t="inlineStr">
        <is>
          <t>Generic</t>
        </is>
      </c>
      <c r="H152" t="inlineStr">
        <is>
          <t>High / Commercial</t>
        </is>
      </c>
    </row>
    <row r="153">
      <c r="A153" t="inlineStr">
        <is>
          <t>real thai original thai cuisine red curry paste</t>
        </is>
      </c>
      <c r="C153" t="inlineStr">
        <is>
          <t>No</t>
        </is>
      </c>
      <c r="F153" t="inlineStr">
        <is>
          <t>Thai / foreign cuisine – wrong flavour for a Chettinad paste</t>
        </is>
      </c>
      <c r="G153" t="inlineStr">
        <is>
          <t>Generic</t>
        </is>
      </c>
      <c r="H153" t="inlineStr">
        <is>
          <t>High / Commercial</t>
        </is>
      </c>
    </row>
    <row r="154">
      <c r="A154" t="inlineStr">
        <is>
          <t>real thai red curry paste amazon now</t>
        </is>
      </c>
      <c r="C154" t="inlineStr">
        <is>
          <t>No</t>
        </is>
      </c>
      <c r="F154" t="inlineStr">
        <is>
          <t>Thai / foreign cuisine – wrong flavour for a Chettinad paste</t>
        </is>
      </c>
      <c r="G154" t="inlineStr">
        <is>
          <t>Generic</t>
        </is>
      </c>
      <c r="H154" t="inlineStr">
        <is>
          <t>High / Commercial</t>
        </is>
      </c>
    </row>
    <row r="155">
      <c r="A155" t="inlineStr">
        <is>
          <t>red chilli paste for cooking</t>
        </is>
      </c>
      <c r="C155" t="inlineStr">
        <is>
          <t>No</t>
        </is>
      </c>
      <c r="F155" t="inlineStr">
        <is>
          <t>Single-ingredient paste, not a curry</t>
        </is>
      </c>
      <c r="G155" t="inlineStr">
        <is>
          <t>Generic</t>
        </is>
      </c>
      <c r="H155" t="inlineStr">
        <is>
          <t>High / Commercial</t>
        </is>
      </c>
    </row>
    <row r="156">
      <c r="A156" t="inlineStr">
        <is>
          <t>roasted coconut chicken curry masala</t>
        </is>
      </c>
      <c r="C156" t="inlineStr">
        <is>
          <t>No</t>
        </is>
      </c>
      <c r="F156" t="inlineStr">
        <is>
          <t>Other regional chicken masala – test only, not core</t>
        </is>
      </c>
      <c r="G156" t="inlineStr">
        <is>
          <t>Generic</t>
        </is>
      </c>
      <c r="H156" t="inlineStr">
        <is>
          <t>High / Commercial</t>
        </is>
      </c>
    </row>
    <row r="157">
      <c r="A157" t="inlineStr">
        <is>
          <t>sakthi chettinad chicken masala powder</t>
        </is>
      </c>
      <c r="C157" t="inlineStr">
        <is>
          <t>Yes</t>
        </is>
      </c>
      <c r="D157" t="inlineStr">
        <is>
          <t>Competitor</t>
        </is>
      </c>
      <c r="E157" t="inlineStr">
        <is>
          <t>Chettinad Competitors</t>
        </is>
      </c>
      <c r="F157" t="inlineStr">
        <is>
          <t>Competitor brand + Chettinad</t>
        </is>
      </c>
      <c r="G157" t="inlineStr">
        <is>
          <t>Generic</t>
        </is>
      </c>
      <c r="H157" t="inlineStr">
        <is>
          <t>High / Commercial</t>
        </is>
      </c>
    </row>
    <row r="158">
      <c r="A158" t="inlineStr">
        <is>
          <t>savji curry paste</t>
        </is>
      </c>
      <c r="C158" t="inlineStr">
        <is>
          <t>No</t>
        </is>
      </c>
      <c r="F158" t="inlineStr">
        <is>
          <t>Pack size / diet / unrelated product</t>
        </is>
      </c>
      <c r="G158" t="inlineStr">
        <is>
          <t>Generic</t>
        </is>
      </c>
      <c r="H158" t="inlineStr">
        <is>
          <t>High / Commercial</t>
        </is>
      </c>
    </row>
    <row r="159">
      <c r="A159" t="inlineStr">
        <is>
          <t>special chicken curry masala</t>
        </is>
      </c>
      <c r="C159" t="inlineStr">
        <is>
          <t>Yes</t>
        </is>
      </c>
      <c r="D159" t="inlineStr">
        <is>
          <t>Generic</t>
        </is>
      </c>
      <c r="E159" t="inlineStr">
        <is>
          <t>Chicken Curry Masala</t>
        </is>
      </c>
      <c r="F159" t="inlineStr">
        <is>
          <t>Same cooking need (chicken curry)</t>
        </is>
      </c>
      <c r="G159" t="inlineStr">
        <is>
          <t>Generic</t>
        </is>
      </c>
      <c r="H159" t="inlineStr">
        <is>
          <t>High / Commercial</t>
        </is>
      </c>
    </row>
    <row r="160">
      <c r="A160" t="inlineStr">
        <is>
          <t>spiced right chettinad masala</t>
        </is>
      </c>
      <c r="C160" t="inlineStr">
        <is>
          <t>Yes</t>
        </is>
      </c>
      <c r="D160" t="inlineStr">
        <is>
          <t>Competitor</t>
        </is>
      </c>
      <c r="E160" t="inlineStr">
        <is>
          <t>Chettinad Competitors</t>
        </is>
      </c>
      <c r="F160" t="inlineStr">
        <is>
          <t>Competitor brand + Chettinad</t>
        </is>
      </c>
      <c r="G160" t="inlineStr">
        <is>
          <t>Generic</t>
        </is>
      </c>
      <c r="H160" t="inlineStr">
        <is>
          <t>High / Commercial</t>
        </is>
      </c>
    </row>
    <row r="161">
      <c r="A161" t="inlineStr">
        <is>
          <t>srr chicken curry masala</t>
        </is>
      </c>
      <c r="C161" t="inlineStr">
        <is>
          <t>Yes</t>
        </is>
      </c>
      <c r="D161" t="inlineStr">
        <is>
          <t>Competitor</t>
        </is>
      </c>
      <c r="E161" t="inlineStr">
        <is>
          <t>Chicken Curry Masala Brands</t>
        </is>
      </c>
      <c r="F161" t="inlineStr">
        <is>
          <t>Competitor brand, chicken curry masala</t>
        </is>
      </c>
      <c r="G161" t="inlineStr">
        <is>
          <t>Generic</t>
        </is>
      </c>
      <c r="H161" t="inlineStr">
        <is>
          <t>High / Commercial</t>
        </is>
      </c>
    </row>
    <row r="162">
      <c r="A162" t="inlineStr">
        <is>
          <t>swadisht curry paste</t>
        </is>
      </c>
      <c r="C162" t="inlineStr">
        <is>
          <t>No</t>
        </is>
      </c>
      <c r="F162" t="inlineStr">
        <is>
          <t>Pack size / diet / unrelated product</t>
        </is>
      </c>
      <c r="G162" t="inlineStr">
        <is>
          <t>Generic</t>
        </is>
      </c>
      <c r="H162" t="inlineStr">
        <is>
          <t>High / Commercial</t>
        </is>
      </c>
    </row>
    <row r="163">
      <c r="A163" t="inlineStr">
        <is>
          <t>sweet karam coffee curry leaves paste</t>
        </is>
      </c>
      <c r="C163" t="inlineStr">
        <is>
          <t>No</t>
        </is>
      </c>
      <c r="F163" t="inlineStr">
        <is>
          <t>Pack size / diet / unrelated product</t>
        </is>
      </c>
      <c r="G163" t="inlineStr">
        <is>
          <t>Generic</t>
        </is>
      </c>
      <c r="H163" t="inlineStr">
        <is>
          <t>High / Commercial</t>
        </is>
      </c>
    </row>
    <row r="164">
      <c r="A164" t="inlineStr">
        <is>
          <t>tamarind paste for cooking 1 kg</t>
        </is>
      </c>
      <c r="C164" t="inlineStr">
        <is>
          <t>No</t>
        </is>
      </c>
      <c r="F164" t="inlineStr">
        <is>
          <t>Pack size / diet / unrelated product</t>
        </is>
      </c>
      <c r="G164" t="inlineStr">
        <is>
          <t>Generic</t>
        </is>
      </c>
      <c r="H164" t="inlineStr">
        <is>
          <t>High / Commercial</t>
        </is>
      </c>
    </row>
    <row r="165">
      <c r="A165" t="inlineStr">
        <is>
          <t>thai curry paste imported</t>
        </is>
      </c>
      <c r="C165" t="inlineStr">
        <is>
          <t>No</t>
        </is>
      </c>
      <c r="F165" t="inlineStr">
        <is>
          <t>Thai / foreign cuisine – wrong flavour for a Chettinad paste</t>
        </is>
      </c>
      <c r="G165" t="inlineStr">
        <is>
          <t>Generic</t>
        </is>
      </c>
      <c r="H165" t="inlineStr">
        <is>
          <t>High / Commercial</t>
        </is>
      </c>
    </row>
    <row r="166">
      <c r="A166" t="inlineStr">
        <is>
          <t>thai curry paste no onion no garlic</t>
        </is>
      </c>
      <c r="C166" t="inlineStr">
        <is>
          <t>No</t>
        </is>
      </c>
      <c r="F166" t="inlineStr">
        <is>
          <t>Jain / no onion-garlic; CURRYiT contains onion &amp; garlic</t>
        </is>
      </c>
      <c r="G166" t="inlineStr">
        <is>
          <t>Generic</t>
        </is>
      </c>
      <c r="H166" t="inlineStr">
        <is>
          <t>High / Commercial</t>
        </is>
      </c>
    </row>
    <row r="167">
      <c r="A167" t="inlineStr">
        <is>
          <t>thai curry paste organic</t>
        </is>
      </c>
      <c r="C167" t="inlineStr">
        <is>
          <t>No</t>
        </is>
      </c>
      <c r="F167" t="inlineStr">
        <is>
          <t>Pack size / diet / unrelated product</t>
        </is>
      </c>
      <c r="G167" t="inlineStr">
        <is>
          <t>Generic</t>
        </is>
      </c>
      <c r="H167" t="inlineStr">
        <is>
          <t>High / Commercial</t>
        </is>
      </c>
    </row>
    <row r="168">
      <c r="A168" t="inlineStr">
        <is>
          <t>thai green curry paste amazon now</t>
        </is>
      </c>
      <c r="C168" t="inlineStr">
        <is>
          <t>No</t>
        </is>
      </c>
      <c r="F168" t="inlineStr">
        <is>
          <t>Thai / foreign cuisine – wrong flavour for a Chettinad paste</t>
        </is>
      </c>
      <c r="G168" t="inlineStr">
        <is>
          <t>Generic</t>
        </is>
      </c>
      <c r="H168" t="inlineStr">
        <is>
          <t>High / Commercial</t>
        </is>
      </c>
    </row>
    <row r="169">
      <c r="A169" t="inlineStr">
        <is>
          <t>thai red curry paste non veg</t>
        </is>
      </c>
      <c r="C169" t="inlineStr">
        <is>
          <t>No</t>
        </is>
      </c>
      <c r="F169" t="inlineStr">
        <is>
          <t>Thai / foreign cuisine – wrong flavour for a Chettinad paste</t>
        </is>
      </c>
      <c r="G169" t="inlineStr">
        <is>
          <t>Generic</t>
        </is>
      </c>
      <c r="H169" t="inlineStr">
        <is>
          <t>High / Commercial</t>
        </is>
      </c>
    </row>
    <row r="170">
      <c r="A170" t="inlineStr">
        <is>
          <t>urban platter red thai curry paste</t>
        </is>
      </c>
      <c r="C170" t="inlineStr">
        <is>
          <t>No</t>
        </is>
      </c>
      <c r="F170" t="inlineStr">
        <is>
          <t>Thai / foreign cuisine – wrong flavour for a Chettinad paste</t>
        </is>
      </c>
      <c r="G170" t="inlineStr">
        <is>
          <t>Generic</t>
        </is>
      </c>
      <c r="H170" t="inlineStr">
        <is>
          <t>High / Commercial</t>
        </is>
      </c>
    </row>
    <row r="171">
      <c r="A171" t="inlineStr">
        <is>
          <t>urban platter thai green curry paste</t>
        </is>
      </c>
      <c r="C171" t="inlineStr">
        <is>
          <t>No</t>
        </is>
      </c>
      <c r="F171" t="inlineStr">
        <is>
          <t>Thai / foreign cuisine – wrong flavour for a Chettinad paste</t>
        </is>
      </c>
      <c r="G171" t="inlineStr">
        <is>
          <t>Generic</t>
        </is>
      </c>
      <c r="H171" t="inlineStr">
        <is>
          <t>High / Commercial</t>
        </is>
      </c>
    </row>
    <row r="172">
      <c r="A172" t="inlineStr">
        <is>
          <t>veg thai curry red paste</t>
        </is>
      </c>
      <c r="C172" t="inlineStr">
        <is>
          <t>No</t>
        </is>
      </c>
      <c r="F172" t="inlineStr">
        <is>
          <t>Thai / foreign cuisine – wrong flavour for a Chettinad paste</t>
        </is>
      </c>
      <c r="G172" t="inlineStr">
        <is>
          <t>Generic</t>
        </is>
      </c>
      <c r="H172" t="inlineStr">
        <is>
          <t>High / Commercial</t>
        </is>
      </c>
    </row>
    <row r="173">
      <c r="A173" t="inlineStr">
        <is>
          <t>wok n roll cooking paste</t>
        </is>
      </c>
      <c r="C173" t="inlineStr">
        <is>
          <t>No</t>
        </is>
      </c>
      <c r="F173" t="inlineStr">
        <is>
          <t>Pack size / diet / unrelated product</t>
        </is>
      </c>
      <c r="G173" t="inlineStr">
        <is>
          <t>Generic</t>
        </is>
      </c>
      <c r="H173" t="inlineStr">
        <is>
          <t>High / Commercial</t>
        </is>
      </c>
    </row>
    <row r="174">
      <c r="A174" t="inlineStr">
        <is>
          <t>yerchi coorg pork curry paste</t>
        </is>
      </c>
      <c r="C174" t="inlineStr">
        <is>
          <t>No</t>
        </is>
      </c>
      <c r="F174" t="inlineStr">
        <is>
          <t>Pack size / diet / unrelated product</t>
        </is>
      </c>
      <c r="G174" t="inlineStr">
        <is>
          <t>Generic</t>
        </is>
      </c>
      <c r="H174" t="inlineStr">
        <is>
          <t>High / Commercial</t>
        </is>
      </c>
    </row>
    <row r="175">
      <c r="A175" t="inlineStr">
        <is>
          <t>best chicken masala</t>
        </is>
      </c>
      <c r="B175" t="n">
        <v>720</v>
      </c>
      <c r="G175" t="inlineStr">
        <is>
          <t>Generic</t>
        </is>
      </c>
      <c r="H175" t="inlineStr">
        <is>
          <t>High / Commercial</t>
        </is>
      </c>
    </row>
    <row r="176">
      <c r="A176" t="inlineStr">
        <is>
          <t>curry paste for chicken</t>
        </is>
      </c>
      <c r="B176" t="n">
        <v>140</v>
      </c>
      <c r="G176" t="inlineStr">
        <is>
          <t>Generic</t>
        </is>
      </c>
      <c r="H176" t="inlineStr">
        <is>
          <t>High / Commercial</t>
        </is>
      </c>
    </row>
    <row r="177">
      <c r="A177" t="inlineStr">
        <is>
          <t>indian curry sauce</t>
        </is>
      </c>
      <c r="B177" t="n">
        <v>110</v>
      </c>
      <c r="G177" t="inlineStr">
        <is>
          <t>Generic</t>
        </is>
      </c>
      <c r="H177" t="inlineStr">
        <is>
          <t>High / Commercial</t>
        </is>
      </c>
    </row>
    <row r="178">
      <c r="A178" t="inlineStr">
        <is>
          <t>instant chicken biryani</t>
        </is>
      </c>
      <c r="B178" t="n">
        <v>110</v>
      </c>
      <c r="G178" t="inlineStr">
        <is>
          <t>Generic</t>
        </is>
      </c>
      <c r="H178" t="inlineStr">
        <is>
          <t>High / Commercial</t>
        </is>
      </c>
    </row>
    <row r="179">
      <c r="A179" t="inlineStr">
        <is>
          <t>instant chicken curry</t>
        </is>
      </c>
      <c r="B179" t="n">
        <v>110</v>
      </c>
      <c r="G179" t="inlineStr">
        <is>
          <t>Generic</t>
        </is>
      </c>
      <c r="H179" t="inlineStr">
        <is>
          <t>High / Commercial</t>
        </is>
      </c>
    </row>
    <row r="180">
      <c r="A180" t="inlineStr">
        <is>
          <t>instant chicken masala</t>
        </is>
      </c>
      <c r="B180" t="n">
        <v>90</v>
      </c>
      <c r="G180" t="inlineStr">
        <is>
          <t>Generic</t>
        </is>
      </c>
      <c r="H180" t="inlineStr">
        <is>
          <t>High / Commercial</t>
        </is>
      </c>
    </row>
    <row r="181">
      <c r="A181" t="inlineStr">
        <is>
          <t>chicken curry mix</t>
        </is>
      </c>
      <c r="B181" t="n">
        <v>70</v>
      </c>
      <c r="G181" t="inlineStr">
        <is>
          <t>Generic</t>
        </is>
      </c>
      <c r="H181" t="inlineStr">
        <is>
          <t>High / Commercial</t>
        </is>
      </c>
    </row>
    <row r="182">
      <c r="A182" t="inlineStr">
        <is>
          <t>best chicken curry masala</t>
        </is>
      </c>
      <c r="B182" t="n">
        <v>50</v>
      </c>
      <c r="G182" t="inlineStr">
        <is>
          <t>Generic</t>
        </is>
      </c>
      <c r="H182" t="inlineStr">
        <is>
          <t>High / Commercial</t>
        </is>
      </c>
    </row>
    <row r="183">
      <c r="A183" t="inlineStr">
        <is>
          <t>chicken masala online</t>
        </is>
      </c>
      <c r="B183" t="n">
        <v>50</v>
      </c>
      <c r="G183" t="inlineStr">
        <is>
          <t>Generic</t>
        </is>
      </c>
      <c r="H183" t="inlineStr">
        <is>
          <t>High / Commercial</t>
        </is>
      </c>
    </row>
    <row r="184">
      <c r="A184" t="inlineStr">
        <is>
          <t>instant butter chicken</t>
        </is>
      </c>
      <c r="B184" t="n">
        <v>40</v>
      </c>
      <c r="G184" t="inlineStr">
        <is>
          <t>Generic</t>
        </is>
      </c>
      <c r="H184" t="inlineStr">
        <is>
          <t>High / Commercial</t>
        </is>
      </c>
    </row>
    <row r="185">
      <c r="A185" t="inlineStr">
        <is>
          <t>chicken tikka masala online</t>
        </is>
      </c>
      <c r="B185" t="n">
        <v>30</v>
      </c>
      <c r="G185" t="inlineStr">
        <is>
          <t>Generic</t>
        </is>
      </c>
      <c r="H185" t="inlineStr">
        <is>
          <t>High / Commercial</t>
        </is>
      </c>
    </row>
    <row r="186">
      <c r="A186" t="inlineStr">
        <is>
          <t>ready made curry paste</t>
        </is>
      </c>
      <c r="B186" t="n">
        <v>30</v>
      </c>
      <c r="G186" t="inlineStr">
        <is>
          <t>Generic</t>
        </is>
      </c>
      <c r="H186" t="inlineStr">
        <is>
          <t>High / Commercial</t>
        </is>
      </c>
    </row>
    <row r="187">
      <c r="A187" t="inlineStr">
        <is>
          <t>ready to cook butter chicken</t>
        </is>
      </c>
      <c r="B187" t="n">
        <v>30</v>
      </c>
      <c r="G187" t="inlineStr">
        <is>
          <t>Generic</t>
        </is>
      </c>
      <c r="H187" t="inlineStr">
        <is>
          <t>High / Commercial</t>
        </is>
      </c>
    </row>
    <row r="188">
      <c r="A188" t="inlineStr">
        <is>
          <t>butter chicken masala online</t>
        </is>
      </c>
      <c r="B188" t="n">
        <v>20</v>
      </c>
      <c r="G188" t="inlineStr">
        <is>
          <t>Generic</t>
        </is>
      </c>
      <c r="H188" t="inlineStr">
        <is>
          <t>High / Commercial</t>
        </is>
      </c>
    </row>
    <row r="189">
      <c r="A189" t="inlineStr">
        <is>
          <t>curry paste near me</t>
        </is>
      </c>
      <c r="B189" t="n">
        <v>20</v>
      </c>
      <c r="G189" t="inlineStr">
        <is>
          <t>Generic</t>
        </is>
      </c>
      <c r="H189" t="inlineStr">
        <is>
          <t>High / Commercial</t>
        </is>
      </c>
    </row>
    <row r="190">
      <c r="A190" t="inlineStr">
        <is>
          <t>ready to cook chicken tikka</t>
        </is>
      </c>
      <c r="B190" t="n">
        <v>20</v>
      </c>
      <c r="G190" t="inlineStr">
        <is>
          <t>Generic</t>
        </is>
      </c>
      <c r="H190" t="inlineStr">
        <is>
          <t>High / Commercial</t>
        </is>
      </c>
    </row>
    <row r="191">
      <c r="A191" t="inlineStr">
        <is>
          <t>best chicken curry sauce</t>
        </is>
      </c>
      <c r="B191" t="n">
        <v>10</v>
      </c>
      <c r="G191" t="inlineStr">
        <is>
          <t>Generic</t>
        </is>
      </c>
      <c r="H191" t="inlineStr">
        <is>
          <t>High / Commercial</t>
        </is>
      </c>
    </row>
    <row r="192">
      <c r="A192" t="inlineStr">
        <is>
          <t>best indian curry paste</t>
        </is>
      </c>
      <c r="B192" t="n">
        <v>10</v>
      </c>
      <c r="G192" t="inlineStr">
        <is>
          <t>Generic</t>
        </is>
      </c>
      <c r="H192" t="inlineStr">
        <is>
          <t>High / Commercial</t>
        </is>
      </c>
    </row>
    <row r="193">
      <c r="A193" t="inlineStr">
        <is>
          <t>butter chicken curry sauce</t>
        </is>
      </c>
      <c r="B193" t="n">
        <v>10</v>
      </c>
      <c r="G193" t="inlineStr">
        <is>
          <t>Generic</t>
        </is>
      </c>
      <c r="H193" t="inlineStr">
        <is>
          <t>High / Commercial</t>
        </is>
      </c>
    </row>
    <row r="194">
      <c r="A194" t="inlineStr">
        <is>
          <t>butter chicken sauce online</t>
        </is>
      </c>
      <c r="B194" t="n">
        <v>10</v>
      </c>
      <c r="G194" t="inlineStr">
        <is>
          <t>Generic</t>
        </is>
      </c>
      <c r="H194" t="inlineStr">
        <is>
          <t>High / Commercial</t>
        </is>
      </c>
    </row>
    <row r="195">
      <c r="A195" t="inlineStr">
        <is>
          <t>buy curry paste online</t>
        </is>
      </c>
      <c r="B195" t="n">
        <v>10</v>
      </c>
      <c r="G195" t="inlineStr">
        <is>
          <t>Generic</t>
        </is>
      </c>
      <c r="H195" t="inlineStr">
        <is>
          <t>High / Commercial</t>
        </is>
      </c>
    </row>
    <row r="196">
      <c r="A196" t="inlineStr">
        <is>
          <t>chicken biryani masala online</t>
        </is>
      </c>
      <c r="B196" t="n">
        <v>10</v>
      </c>
      <c r="G196" t="inlineStr">
        <is>
          <t>Generic</t>
        </is>
      </c>
      <c r="H196" t="inlineStr">
        <is>
          <t>High / Commercial</t>
        </is>
      </c>
    </row>
    <row r="197">
      <c r="A197" t="inlineStr">
        <is>
          <t>chicken curry kit</t>
        </is>
      </c>
      <c r="B197" t="n">
        <v>10</v>
      </c>
      <c r="G197" t="inlineStr">
        <is>
          <t>Generic</t>
        </is>
      </c>
      <c r="H197" t="inlineStr">
        <is>
          <t>Generic / Mixed</t>
        </is>
      </c>
    </row>
    <row r="198">
      <c r="A198" t="inlineStr">
        <is>
          <t>chicken curry seasoning</t>
        </is>
      </c>
      <c r="B198" t="n">
        <v>10</v>
      </c>
      <c r="G198" t="inlineStr">
        <is>
          <t>Generic</t>
        </is>
      </c>
      <c r="H198" t="inlineStr">
        <is>
          <t>Generic / Mixed</t>
        </is>
      </c>
    </row>
    <row r="199">
      <c r="A199" t="inlineStr">
        <is>
          <t>indian chicken curry paste</t>
        </is>
      </c>
      <c r="B199" t="n">
        <v>10</v>
      </c>
      <c r="G199" t="inlineStr">
        <is>
          <t>Generic</t>
        </is>
      </c>
      <c r="H199" t="inlineStr">
        <is>
          <t>High / Commercial</t>
        </is>
      </c>
    </row>
    <row r="200">
      <c r="A200" t="inlineStr">
        <is>
          <t>indian chicken curry sauce</t>
        </is>
      </c>
      <c r="B200" t="n">
        <v>10</v>
      </c>
      <c r="G200" t="inlineStr">
        <is>
          <t>Generic</t>
        </is>
      </c>
      <c r="H200" t="inlineStr">
        <is>
          <t>High / Commercial</t>
        </is>
      </c>
    </row>
    <row r="201">
      <c r="A201" t="inlineStr">
        <is>
          <t>indian masala paste</t>
        </is>
      </c>
      <c r="B201" t="n">
        <v>10</v>
      </c>
      <c r="G201" t="inlineStr">
        <is>
          <t>Generic</t>
        </is>
      </c>
      <c r="H201" t="inlineStr">
        <is>
          <t>High / Commercial</t>
        </is>
      </c>
    </row>
    <row r="202">
      <c r="A202" t="inlineStr">
        <is>
          <t>instant chicken curry paste</t>
        </is>
      </c>
      <c r="B202" t="n">
        <v>10</v>
      </c>
      <c r="G202" t="inlineStr">
        <is>
          <t>Generic</t>
        </is>
      </c>
      <c r="H202" t="inlineStr">
        <is>
          <t>High / Commercial</t>
        </is>
      </c>
    </row>
    <row r="203">
      <c r="A203" t="inlineStr">
        <is>
          <t>ready made butter chicken</t>
        </is>
      </c>
      <c r="B203" t="n">
        <v>10</v>
      </c>
      <c r="G203" t="inlineStr">
        <is>
          <t>Generic</t>
        </is>
      </c>
      <c r="H203" t="inlineStr">
        <is>
          <t>High / Commercial</t>
        </is>
      </c>
    </row>
    <row r="204">
      <c r="A204" t="inlineStr">
        <is>
          <t>ready made chicken tikka</t>
        </is>
      </c>
      <c r="B204" t="n">
        <v>10</v>
      </c>
      <c r="G204" t="inlineStr">
        <is>
          <t>Generic</t>
        </is>
      </c>
      <c r="H204" t="inlineStr">
        <is>
          <t>High / Commercial</t>
        </is>
      </c>
    </row>
    <row r="205">
      <c r="A205" t="inlineStr">
        <is>
          <t>ready made indian curry</t>
        </is>
      </c>
      <c r="B205" t="n">
        <v>10</v>
      </c>
      <c r="G205" t="inlineStr">
        <is>
          <t>Generic</t>
        </is>
      </c>
      <c r="H205" t="inlineStr">
        <is>
          <t>High / Commercial</t>
        </is>
      </c>
    </row>
    <row r="206">
      <c r="A206" t="inlineStr">
        <is>
          <t>ready to make chicken curry</t>
        </is>
      </c>
      <c r="B206" t="n">
        <v>10</v>
      </c>
      <c r="G206" t="inlineStr">
        <is>
          <t>Generic</t>
        </is>
      </c>
      <c r="H206" t="inlineStr">
        <is>
          <t>Generic / Mixed</t>
        </is>
      </c>
    </row>
  </sheetData>
  <autoFilter ref="A1:H206"/>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7"/>
  <sheetViews>
    <sheetView workbookViewId="0">
      <selection activeCell="A1" sqref="A1:H7"/>
    </sheetView>
  </sheetViews>
  <sheetFormatPr baseColWidth="8" defaultRowHeight="14.4"/>
  <sheetData>
    <row r="1">
      <c r="A1" s="23" t="inlineStr">
        <is>
          <t>Keyword</t>
        </is>
      </c>
      <c r="B1" s="23" t="inlineStr">
        <is>
          <t>Avg. monthly searches</t>
        </is>
      </c>
      <c r="C1" s="23" t="inlineStr">
        <is>
          <t>Relevant</t>
        </is>
      </c>
      <c r="D1" s="23" t="inlineStr">
        <is>
          <t>Broader/Campaign</t>
        </is>
      </c>
      <c r="E1" s="23" t="inlineStr">
        <is>
          <t>Sub Theme/Adgroup</t>
        </is>
      </c>
      <c r="F1" s="23" t="inlineStr">
        <is>
          <t>Reason</t>
        </is>
      </c>
      <c r="G1" s="23" t="inlineStr">
        <is>
          <t>Category</t>
        </is>
      </c>
      <c r="H1" s="23" t="inlineStr">
        <is>
          <t>Intent</t>
        </is>
      </c>
    </row>
    <row r="2">
      <c r="A2" t="inlineStr">
        <is>
          <t>curry it ginger garlic paste</t>
        </is>
      </c>
      <c r="B2" t="n">
        <v>90</v>
      </c>
      <c r="C2" t="inlineStr">
        <is>
          <t>No</t>
        </is>
      </c>
      <c r="F2" t="inlineStr">
        <is>
          <t>Own brand, other product – route to that product's campaign</t>
        </is>
      </c>
      <c r="G2" t="inlineStr">
        <is>
          <t>Brand</t>
        </is>
      </c>
      <c r="H2" t="inlineStr">
        <is>
          <t>High / Commercial</t>
        </is>
      </c>
    </row>
    <row r="3">
      <c r="A3" t="inlineStr">
        <is>
          <t>curryit chettinad chicken curry masala paste</t>
        </is>
      </c>
      <c r="C3" t="inlineStr">
        <is>
          <t>Yes</t>
        </is>
      </c>
      <c r="D3" t="inlineStr">
        <is>
          <t>Brand</t>
        </is>
      </c>
      <c r="E3" t="inlineStr">
        <is>
          <t>Brand + Chettinad</t>
        </is>
      </c>
      <c r="F3" t="inlineStr">
        <is>
          <t>Own brand + exact product</t>
        </is>
      </c>
      <c r="G3" t="inlineStr">
        <is>
          <t>Brand</t>
        </is>
      </c>
      <c r="H3" t="inlineStr">
        <is>
          <t>High / Commercial</t>
        </is>
      </c>
    </row>
    <row r="4">
      <c r="A4" t="inlineStr">
        <is>
          <t>curryit punjabi kadhai paneer masala premium cooking paste</t>
        </is>
      </c>
      <c r="C4" t="inlineStr">
        <is>
          <t>No</t>
        </is>
      </c>
      <c r="F4" t="inlineStr">
        <is>
          <t>Own brand, other product – route to that product's campaign</t>
        </is>
      </c>
      <c r="G4" t="inlineStr">
        <is>
          <t>Brand</t>
        </is>
      </c>
      <c r="H4" t="inlineStr">
        <is>
          <t>High / Commercial</t>
        </is>
      </c>
    </row>
    <row r="5">
      <c r="A5" t="inlineStr">
        <is>
          <t>curryit</t>
        </is>
      </c>
      <c r="B5" t="n">
        <v>1300</v>
      </c>
      <c r="D5" t="inlineStr">
        <is>
          <t>Brand</t>
        </is>
      </c>
      <c r="E5" t="inlineStr">
        <is>
          <t xml:space="preserve">Brand </t>
        </is>
      </c>
      <c r="F5" t="inlineStr">
        <is>
          <t>Brand keyword – directly searches for CURRYiT</t>
        </is>
      </c>
      <c r="G5" t="inlineStr">
        <is>
          <t>Brand</t>
        </is>
      </c>
      <c r="H5" t="inlineStr">
        <is>
          <t>Generic / Mixed</t>
        </is>
      </c>
    </row>
    <row r="6">
      <c r="A6" t="inlineStr">
        <is>
          <t>Curryit paste</t>
        </is>
      </c>
      <c r="D6" t="inlineStr">
        <is>
          <t>Brand</t>
        </is>
      </c>
      <c r="E6" t="inlineStr">
        <is>
          <t xml:space="preserve">Brand </t>
        </is>
      </c>
      <c r="F6" t="inlineStr">
        <is>
          <t>Brand keyword – directly searches for CURRYiT paste</t>
        </is>
      </c>
      <c r="G6" t="inlineStr">
        <is>
          <t>Brand</t>
        </is>
      </c>
      <c r="H6" t="inlineStr">
        <is>
          <t>High / Commercial</t>
        </is>
      </c>
    </row>
    <row r="7">
      <c r="A7" t="inlineStr">
        <is>
          <t>curry it</t>
        </is>
      </c>
      <c r="B7" t="n">
        <v>2400</v>
      </c>
      <c r="D7" t="inlineStr">
        <is>
          <t>Brand</t>
        </is>
      </c>
      <c r="E7" t="inlineStr">
        <is>
          <t xml:space="preserve">Brand </t>
        </is>
      </c>
      <c r="F7" t="inlineStr">
        <is>
          <t>Brand keyword – alternate spelling of CURRYiT</t>
        </is>
      </c>
      <c r="G7" t="inlineStr">
        <is>
          <t>Brand</t>
        </is>
      </c>
      <c r="H7" t="inlineStr">
        <is>
          <t>Generic / Mixed</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32"/>
  <sheetViews>
    <sheetView workbookViewId="0">
      <selection activeCell="L21" sqref="L21"/>
    </sheetView>
  </sheetViews>
  <sheetFormatPr baseColWidth="8" defaultRowHeight="14.4"/>
  <sheetData>
    <row r="1">
      <c r="A1" s="23" t="inlineStr">
        <is>
          <t>Keyword</t>
        </is>
      </c>
      <c r="B1" s="23" t="inlineStr">
        <is>
          <t>Avg. monthly searches</t>
        </is>
      </c>
      <c r="C1" s="23" t="inlineStr">
        <is>
          <t>Relevant</t>
        </is>
      </c>
      <c r="D1" s="23" t="inlineStr">
        <is>
          <t>Broader/Campaign</t>
        </is>
      </c>
      <c r="E1" s="23" t="inlineStr">
        <is>
          <t>Sub Theme/Adgroup</t>
        </is>
      </c>
      <c r="F1" s="23" t="inlineStr">
        <is>
          <t>Reason</t>
        </is>
      </c>
      <c r="G1" s="23" t="inlineStr">
        <is>
          <t>Category</t>
        </is>
      </c>
      <c r="H1" s="23" t="inlineStr">
        <is>
          <t>Intent</t>
        </is>
      </c>
    </row>
    <row r="2">
      <c r="A2" t="inlineStr">
        <is>
          <t>mae ploy thai curry paste</t>
        </is>
      </c>
      <c r="B2" t="n">
        <v>480</v>
      </c>
      <c r="C2" t="inlineStr">
        <is>
          <t>No</t>
        </is>
      </c>
      <c r="F2" t="inlineStr">
        <is>
          <t>Thai / foreign cuisine – wrong flavour for a Chettinad paste</t>
        </is>
      </c>
      <c r="G2" t="inlineStr">
        <is>
          <t>Competitor</t>
        </is>
      </c>
      <c r="H2" t="inlineStr">
        <is>
          <t>High / Commercial</t>
        </is>
      </c>
    </row>
    <row r="3">
      <c r="A3" t="inlineStr">
        <is>
          <t>thai kitchen red curry paste</t>
        </is>
      </c>
      <c r="B3" t="n">
        <v>170</v>
      </c>
      <c r="C3" t="inlineStr">
        <is>
          <t>No</t>
        </is>
      </c>
      <c r="F3" t="inlineStr">
        <is>
          <t>Thai / foreign cuisine – wrong flavour for a Chettinad paste</t>
        </is>
      </c>
      <c r="G3" t="inlineStr">
        <is>
          <t>Competitor</t>
        </is>
      </c>
      <c r="H3" t="inlineStr">
        <is>
          <t>High / Commercial</t>
        </is>
      </c>
    </row>
    <row r="4">
      <c r="A4" t="inlineStr">
        <is>
          <t>mdh chicken curry masala</t>
        </is>
      </c>
      <c r="B4" t="n">
        <v>140</v>
      </c>
      <c r="C4" t="inlineStr">
        <is>
          <t>Yes</t>
        </is>
      </c>
      <c r="D4" t="inlineStr">
        <is>
          <t>Competitor</t>
        </is>
      </c>
      <c r="E4" t="inlineStr">
        <is>
          <t>Chicken Curry Masala Brands</t>
        </is>
      </c>
      <c r="F4" t="inlineStr">
        <is>
          <t>Competitor brand, chicken curry masala</t>
        </is>
      </c>
      <c r="G4" t="inlineStr">
        <is>
          <t>Competitor</t>
        </is>
      </c>
      <c r="H4" t="inlineStr">
        <is>
          <t>High / Commercial</t>
        </is>
      </c>
    </row>
    <row r="5">
      <c r="A5" t="inlineStr">
        <is>
          <t>blue elephant curry paste</t>
        </is>
      </c>
      <c r="B5" t="n">
        <v>90</v>
      </c>
      <c r="C5" t="inlineStr">
        <is>
          <t>No</t>
        </is>
      </c>
      <c r="F5" t="inlineStr">
        <is>
          <t>Thai / foreign cuisine – wrong flavour for a Chettinad paste</t>
        </is>
      </c>
      <c r="G5" t="inlineStr">
        <is>
          <t>Competitor</t>
        </is>
      </c>
      <c r="H5" t="inlineStr">
        <is>
          <t>High / Commercial</t>
        </is>
      </c>
    </row>
    <row r="6">
      <c r="A6" t="inlineStr">
        <is>
          <t>blue elephant thai curry paste</t>
        </is>
      </c>
      <c r="B6" t="n">
        <v>90</v>
      </c>
      <c r="C6" t="inlineStr">
        <is>
          <t>No</t>
        </is>
      </c>
      <c r="F6" t="inlineStr">
        <is>
          <t>Thai / foreign cuisine – wrong flavour for a Chettinad paste</t>
        </is>
      </c>
      <c r="G6" t="inlineStr">
        <is>
          <t>Competitor</t>
        </is>
      </c>
      <c r="H6" t="inlineStr">
        <is>
          <t>High / Commercial</t>
        </is>
      </c>
    </row>
    <row r="7">
      <c r="A7" t="inlineStr">
        <is>
          <t>suhana chicken curry masala</t>
        </is>
      </c>
      <c r="B7" t="n">
        <v>90</v>
      </c>
      <c r="C7" t="inlineStr">
        <is>
          <t>Yes</t>
        </is>
      </c>
      <c r="D7" t="inlineStr">
        <is>
          <t>Competitor</t>
        </is>
      </c>
      <c r="E7" t="inlineStr">
        <is>
          <t>Chicken Curry Masala Brands</t>
        </is>
      </c>
      <c r="F7" t="inlineStr">
        <is>
          <t>Competitor brand, chicken curry masala</t>
        </is>
      </c>
      <c r="G7" t="inlineStr">
        <is>
          <t>Competitor</t>
        </is>
      </c>
      <c r="H7" t="inlineStr">
        <is>
          <t>High / Commercial</t>
        </is>
      </c>
    </row>
    <row r="8">
      <c r="A8" t="inlineStr">
        <is>
          <t>knorr thai curry paste</t>
        </is>
      </c>
      <c r="B8" t="n">
        <v>70</v>
      </c>
      <c r="C8" t="inlineStr">
        <is>
          <t>No</t>
        </is>
      </c>
      <c r="F8" t="inlineStr">
        <is>
          <t>Thai / foreign cuisine – wrong flavour for a Chettinad paste</t>
        </is>
      </c>
      <c r="G8" t="inlineStr">
        <is>
          <t>Competitor</t>
        </is>
      </c>
      <c r="H8" t="inlineStr">
        <is>
          <t>High / Commercial</t>
        </is>
      </c>
    </row>
    <row r="9">
      <c r="A9" t="inlineStr">
        <is>
          <t>everest chicken curry masala</t>
        </is>
      </c>
      <c r="B9" t="n">
        <v>50</v>
      </c>
      <c r="C9" t="inlineStr">
        <is>
          <t>Yes</t>
        </is>
      </c>
      <c r="D9" t="inlineStr">
        <is>
          <t>Competitor</t>
        </is>
      </c>
      <c r="E9" t="inlineStr">
        <is>
          <t>Chicken Curry Masala Brands</t>
        </is>
      </c>
      <c r="F9" t="inlineStr">
        <is>
          <t>Competitor brand, chicken curry masala</t>
        </is>
      </c>
      <c r="G9" t="inlineStr">
        <is>
          <t>Competitor</t>
        </is>
      </c>
      <c r="H9" t="inlineStr">
        <is>
          <t>High / Commercial</t>
        </is>
      </c>
    </row>
    <row r="10">
      <c r="A10" t="inlineStr">
        <is>
          <t>thai kitchen green curry paste</t>
        </is>
      </c>
      <c r="B10" t="n">
        <v>50</v>
      </c>
      <c r="C10" t="inlineStr">
        <is>
          <t>No</t>
        </is>
      </c>
      <c r="F10" t="inlineStr">
        <is>
          <t>Thai / foreign cuisine – wrong flavour for a Chettinad paste</t>
        </is>
      </c>
      <c r="G10" t="inlineStr">
        <is>
          <t>Competitor</t>
        </is>
      </c>
      <c r="H10" t="inlineStr">
        <is>
          <t>High / Commercial</t>
        </is>
      </c>
    </row>
    <row r="11">
      <c r="A11" t="inlineStr">
        <is>
          <t>knorr green thai curry paste</t>
        </is>
      </c>
      <c r="B11" t="n">
        <v>40</v>
      </c>
      <c r="C11" t="inlineStr">
        <is>
          <t>No</t>
        </is>
      </c>
      <c r="F11" t="inlineStr">
        <is>
          <t>Thai / foreign cuisine – wrong flavour for a Chettinad paste</t>
        </is>
      </c>
      <c r="G11" t="inlineStr">
        <is>
          <t>Competitor</t>
        </is>
      </c>
      <c r="H11" t="inlineStr">
        <is>
          <t>High / Commercial</t>
        </is>
      </c>
    </row>
    <row r="12">
      <c r="A12" t="inlineStr">
        <is>
          <t>aachi chicken curry masala</t>
        </is>
      </c>
      <c r="B12" t="n">
        <v>30</v>
      </c>
      <c r="C12" t="inlineStr">
        <is>
          <t>Yes</t>
        </is>
      </c>
      <c r="D12" t="inlineStr">
        <is>
          <t>Competitor</t>
        </is>
      </c>
      <c r="E12" t="inlineStr">
        <is>
          <t>Chicken Curry Masala Brands</t>
        </is>
      </c>
      <c r="F12" t="inlineStr">
        <is>
          <t>Competitor brand, chicken curry masala</t>
        </is>
      </c>
      <c r="G12" t="inlineStr">
        <is>
          <t>Competitor</t>
        </is>
      </c>
      <c r="H12" t="inlineStr">
        <is>
          <t>High / Commercial</t>
        </is>
      </c>
    </row>
    <row r="13">
      <c r="A13" t="inlineStr">
        <is>
          <t>aachi curry leaf rice paste</t>
        </is>
      </c>
      <c r="B13" t="n">
        <v>30</v>
      </c>
      <c r="C13" t="inlineStr">
        <is>
          <t>No</t>
        </is>
      </c>
      <c r="F13" t="inlineStr">
        <is>
          <t>Pack size / diet / unrelated product</t>
        </is>
      </c>
      <c r="G13" t="inlineStr">
        <is>
          <t>Competitor</t>
        </is>
      </c>
      <c r="H13" t="inlineStr">
        <is>
          <t>High / Commercial</t>
        </is>
      </c>
    </row>
    <row r="14">
      <c r="A14" t="inlineStr">
        <is>
          <t>blue elephant green curry paste</t>
        </is>
      </c>
      <c r="B14" t="n">
        <v>30</v>
      </c>
      <c r="C14" t="inlineStr">
        <is>
          <t>No</t>
        </is>
      </c>
      <c r="F14" t="inlineStr">
        <is>
          <t>Thai / foreign cuisine – wrong flavour for a Chettinad paste</t>
        </is>
      </c>
      <c r="G14" t="inlineStr">
        <is>
          <t>Competitor</t>
        </is>
      </c>
      <c r="H14" t="inlineStr">
        <is>
          <t>High / Commercial</t>
        </is>
      </c>
    </row>
    <row r="15">
      <c r="A15" t="inlineStr">
        <is>
          <t>blue elephant thai green curry paste</t>
        </is>
      </c>
      <c r="B15" t="n">
        <v>30</v>
      </c>
      <c r="C15" t="inlineStr">
        <is>
          <t>No</t>
        </is>
      </c>
      <c r="F15" t="inlineStr">
        <is>
          <t>Thai / foreign cuisine – wrong flavour for a Chettinad paste</t>
        </is>
      </c>
      <c r="G15" t="inlineStr">
        <is>
          <t>Competitor</t>
        </is>
      </c>
      <c r="H15" t="inlineStr">
        <is>
          <t>High / Commercial</t>
        </is>
      </c>
    </row>
    <row r="16">
      <c r="A16" t="inlineStr">
        <is>
          <t>itc master chef butter chicken cooking paste</t>
        </is>
      </c>
      <c r="B16" t="n">
        <v>30</v>
      </c>
      <c r="C16" t="inlineStr">
        <is>
          <t>No</t>
        </is>
      </c>
      <c r="F16" t="inlineStr">
        <is>
          <t>Other dish / other CURRYiT product – route elsewhere</t>
        </is>
      </c>
      <c r="G16" t="inlineStr">
        <is>
          <t>Competitor</t>
        </is>
      </c>
      <c r="H16" t="inlineStr">
        <is>
          <t>High / Commercial</t>
        </is>
      </c>
    </row>
    <row r="17">
      <c r="A17" t="inlineStr">
        <is>
          <t>aachi chettinad chicken biryani masala</t>
        </is>
      </c>
      <c r="B17" t="n">
        <v>20</v>
      </c>
      <c r="C17" t="inlineStr">
        <is>
          <t>No</t>
        </is>
      </c>
      <c r="F17" t="inlineStr">
        <is>
          <t>Biryani – different dish</t>
        </is>
      </c>
      <c r="G17" t="inlineStr">
        <is>
          <t>Competitor</t>
        </is>
      </c>
      <c r="H17" t="inlineStr">
        <is>
          <t>High / Commercial</t>
        </is>
      </c>
    </row>
    <row r="18">
      <c r="A18" t="inlineStr">
        <is>
          <t>itc cooking paste</t>
        </is>
      </c>
      <c r="B18" t="n">
        <v>20</v>
      </c>
      <c r="C18" t="inlineStr">
        <is>
          <t>Yes</t>
        </is>
      </c>
      <c r="D18" t="inlineStr">
        <is>
          <t>Competitor</t>
        </is>
      </c>
      <c r="E18" t="inlineStr">
        <is>
          <t>Cooking Paste Brands</t>
        </is>
      </c>
      <c r="F18" t="inlineStr">
        <is>
          <t>Competitor brand, same paste format</t>
        </is>
      </c>
      <c r="G18" t="inlineStr">
        <is>
          <t>Competitor</t>
        </is>
      </c>
      <c r="H18" t="inlineStr">
        <is>
          <t>High / Commercial</t>
        </is>
      </c>
    </row>
    <row r="19">
      <c r="A19" t="inlineStr">
        <is>
          <t>itc master chef cooking paste</t>
        </is>
      </c>
      <c r="B19" t="n">
        <v>20</v>
      </c>
      <c r="C19" t="inlineStr">
        <is>
          <t>Yes</t>
        </is>
      </c>
      <c r="D19" t="inlineStr">
        <is>
          <t>Competitor</t>
        </is>
      </c>
      <c r="E19" t="inlineStr">
        <is>
          <t>Cooking Paste Brands</t>
        </is>
      </c>
      <c r="F19" t="inlineStr">
        <is>
          <t>Competitor brand, same paste format</t>
        </is>
      </c>
      <c r="G19" t="inlineStr">
        <is>
          <t>Competitor</t>
        </is>
      </c>
      <c r="H19" t="inlineStr">
        <is>
          <t>High / Commercial</t>
        </is>
      </c>
    </row>
    <row r="20">
      <c r="A20" t="inlineStr">
        <is>
          <t>priya non veg curry masala paste</t>
        </is>
      </c>
      <c r="B20" t="n">
        <v>20</v>
      </c>
      <c r="C20" t="inlineStr">
        <is>
          <t>Yes</t>
        </is>
      </c>
      <c r="D20" t="inlineStr">
        <is>
          <t>Competitor</t>
        </is>
      </c>
      <c r="E20" t="inlineStr">
        <is>
          <t>Cooking Paste Brands</t>
        </is>
      </c>
      <c r="F20" t="inlineStr">
        <is>
          <t>Competitor brand, same paste format</t>
        </is>
      </c>
      <c r="G20" t="inlineStr">
        <is>
          <t>Competitor</t>
        </is>
      </c>
      <c r="H20" t="inlineStr">
        <is>
          <t>High / Commercial</t>
        </is>
      </c>
    </row>
    <row r="21">
      <c r="A21" t="inlineStr">
        <is>
          <t>aachi chettinad chicken masala</t>
        </is>
      </c>
      <c r="B21" t="n">
        <v>10</v>
      </c>
      <c r="C21" t="inlineStr">
        <is>
          <t>Yes</t>
        </is>
      </c>
      <c r="D21" t="inlineStr">
        <is>
          <t>Competitor</t>
        </is>
      </c>
      <c r="E21" t="inlineStr">
        <is>
          <t>Chettinad Competitors</t>
        </is>
      </c>
      <c r="F21" t="inlineStr">
        <is>
          <t>Competitor brand + Chettinad</t>
        </is>
      </c>
      <c r="G21" t="inlineStr">
        <is>
          <t>Competitor</t>
        </is>
      </c>
      <c r="H21" t="inlineStr">
        <is>
          <t>High / Commercial</t>
        </is>
      </c>
    </row>
    <row r="22">
      <c r="A22" t="inlineStr">
        <is>
          <t>blue elephant red thai curry paste</t>
        </is>
      </c>
      <c r="B22" t="n">
        <v>10</v>
      </c>
      <c r="C22" t="inlineStr">
        <is>
          <t>No</t>
        </is>
      </c>
      <c r="F22" t="inlineStr">
        <is>
          <t>Thai / foreign cuisine – wrong flavour for a Chettinad paste</t>
        </is>
      </c>
      <c r="G22" t="inlineStr">
        <is>
          <t>Competitor</t>
        </is>
      </c>
      <c r="H22" t="inlineStr">
        <is>
          <t>High / Commercial</t>
        </is>
      </c>
    </row>
    <row r="23">
      <c r="A23" t="inlineStr">
        <is>
          <t>itc masterchef cooking paste</t>
        </is>
      </c>
      <c r="B23" t="n">
        <v>10</v>
      </c>
      <c r="C23" t="inlineStr">
        <is>
          <t>Yes</t>
        </is>
      </c>
      <c r="D23" t="inlineStr">
        <is>
          <t>Competitor</t>
        </is>
      </c>
      <c r="E23" t="inlineStr">
        <is>
          <t>Cooking Paste Brands</t>
        </is>
      </c>
      <c r="F23" t="inlineStr">
        <is>
          <t>Competitor brand, same paste format</t>
        </is>
      </c>
      <c r="G23" t="inlineStr">
        <is>
          <t>Competitor</t>
        </is>
      </c>
      <c r="H23" t="inlineStr">
        <is>
          <t>High / Commercial</t>
        </is>
      </c>
    </row>
    <row r="24">
      <c r="A24" t="inlineStr">
        <is>
          <t>shan chicken curry masala</t>
        </is>
      </c>
      <c r="B24" t="n">
        <v>10</v>
      </c>
      <c r="C24" t="inlineStr">
        <is>
          <t>Yes</t>
        </is>
      </c>
      <c r="D24" t="inlineStr">
        <is>
          <t>Competitor</t>
        </is>
      </c>
      <c r="E24" t="inlineStr">
        <is>
          <t>Chicken Curry Masala Brands</t>
        </is>
      </c>
      <c r="F24" t="inlineStr">
        <is>
          <t>Competitor brand, chicken curry masala</t>
        </is>
      </c>
      <c r="G24" t="inlineStr">
        <is>
          <t>Competitor</t>
        </is>
      </c>
      <c r="H24" t="inlineStr">
        <is>
          <t>High / Commercial</t>
        </is>
      </c>
    </row>
    <row r="25">
      <c r="A25" t="inlineStr">
        <is>
          <t>aachi chettinad masala</t>
        </is>
      </c>
      <c r="C25" t="inlineStr">
        <is>
          <t>Yes</t>
        </is>
      </c>
      <c r="D25" t="inlineStr">
        <is>
          <t>Competitor</t>
        </is>
      </c>
      <c r="E25" t="inlineStr">
        <is>
          <t>Chettinad Competitors</t>
        </is>
      </c>
      <c r="F25" t="inlineStr">
        <is>
          <t>Competitor brand + Chettinad</t>
        </is>
      </c>
      <c r="G25" t="inlineStr">
        <is>
          <t>Competitor</t>
        </is>
      </c>
      <c r="H25" t="inlineStr">
        <is>
          <t>High / Commercial</t>
        </is>
      </c>
    </row>
    <row r="26">
      <c r="A26" t="inlineStr">
        <is>
          <t>chettinad masala mtr</t>
        </is>
      </c>
      <c r="C26" t="inlineStr">
        <is>
          <t>Yes</t>
        </is>
      </c>
      <c r="D26" t="inlineStr">
        <is>
          <t>Competitor</t>
        </is>
      </c>
      <c r="E26" t="inlineStr">
        <is>
          <t>Chettinad Competitors</t>
        </is>
      </c>
      <c r="F26" t="inlineStr">
        <is>
          <t>Competitor brand + Chettinad</t>
        </is>
      </c>
      <c r="G26" t="inlineStr">
        <is>
          <t>Competitor</t>
        </is>
      </c>
      <c r="H26" t="inlineStr">
        <is>
          <t>High / Commercial</t>
        </is>
      </c>
    </row>
    <row r="27">
      <c r="A27" t="inlineStr">
        <is>
          <t>itc butter chicken cooking paste</t>
        </is>
      </c>
      <c r="C27" t="inlineStr">
        <is>
          <t>No</t>
        </is>
      </c>
      <c r="F27" t="inlineStr">
        <is>
          <t>Other dish / other CURRYiT product – route elsewhere</t>
        </is>
      </c>
      <c r="G27" t="inlineStr">
        <is>
          <t>Competitor</t>
        </is>
      </c>
      <c r="H27" t="inlineStr">
        <is>
          <t>High / Commercial</t>
        </is>
      </c>
    </row>
    <row r="28">
      <c r="A28" t="inlineStr">
        <is>
          <t>itc curry paste</t>
        </is>
      </c>
      <c r="C28" t="inlineStr">
        <is>
          <t>Yes</t>
        </is>
      </c>
      <c r="D28" t="inlineStr">
        <is>
          <t>Competitor</t>
        </is>
      </c>
      <c r="E28" t="inlineStr">
        <is>
          <t>Cooking Paste Brands</t>
        </is>
      </c>
      <c r="F28" t="inlineStr">
        <is>
          <t>Competitor brand, same paste format</t>
        </is>
      </c>
      <c r="G28" t="inlineStr">
        <is>
          <t>Competitor</t>
        </is>
      </c>
      <c r="H28" t="inlineStr">
        <is>
          <t>High / Commercial</t>
        </is>
      </c>
    </row>
    <row r="29">
      <c r="A29" t="inlineStr">
        <is>
          <t>mother's recipe chicken curry masala</t>
        </is>
      </c>
      <c r="C29" t="inlineStr">
        <is>
          <t>Yes</t>
        </is>
      </c>
      <c r="D29" t="inlineStr">
        <is>
          <t>Competitor</t>
        </is>
      </c>
      <c r="E29" t="inlineStr">
        <is>
          <t>Chicken Curry Masala Brands</t>
        </is>
      </c>
      <c r="F29" t="inlineStr">
        <is>
          <t>Competitor brand, chicken curry masala</t>
        </is>
      </c>
      <c r="G29" t="inlineStr">
        <is>
          <t>Competitor</t>
        </is>
      </c>
      <c r="H29" t="inlineStr">
        <is>
          <t>High / Commercial</t>
        </is>
      </c>
    </row>
    <row r="30">
      <c r="A30" t="inlineStr">
        <is>
          <t>mothers recipe chicken chettinad masala</t>
        </is>
      </c>
      <c r="C30" t="inlineStr">
        <is>
          <t>Yes</t>
        </is>
      </c>
      <c r="D30" t="inlineStr">
        <is>
          <t>Competitor</t>
        </is>
      </c>
      <c r="E30" t="inlineStr">
        <is>
          <t>Chettinad Competitors</t>
        </is>
      </c>
      <c r="F30" t="inlineStr">
        <is>
          <t>Competitor brand + Chettinad</t>
        </is>
      </c>
      <c r="G30" t="inlineStr">
        <is>
          <t>Competitor</t>
        </is>
      </c>
      <c r="H30" t="inlineStr">
        <is>
          <t>High / Commercial</t>
        </is>
      </c>
    </row>
    <row r="31">
      <c r="A31" t="inlineStr">
        <is>
          <t>saffola masala oats chicken curry flavour</t>
        </is>
      </c>
      <c r="C31" t="inlineStr">
        <is>
          <t>No</t>
        </is>
      </c>
      <c r="F31" t="inlineStr">
        <is>
          <t>Pack size / diet / unrelated product</t>
        </is>
      </c>
      <c r="G31" t="inlineStr">
        <is>
          <t>Competitor</t>
        </is>
      </c>
      <c r="H31" t="inlineStr">
        <is>
          <t>High / Commercial</t>
        </is>
      </c>
    </row>
    <row r="32">
      <c r="A32" t="inlineStr">
        <is>
          <t>tata sampann chicken curry masala</t>
        </is>
      </c>
      <c r="C32" t="inlineStr">
        <is>
          <t>Yes</t>
        </is>
      </c>
      <c r="D32" t="inlineStr">
        <is>
          <t>Competitor</t>
        </is>
      </c>
      <c r="E32" t="inlineStr">
        <is>
          <t>Chicken Curry Masala Brands</t>
        </is>
      </c>
      <c r="F32" t="inlineStr">
        <is>
          <t>Competitor brand, chicken curry masala</t>
        </is>
      </c>
      <c r="G32" t="inlineStr">
        <is>
          <t>Competitor</t>
        </is>
      </c>
      <c r="H32" t="inlineStr">
        <is>
          <t>High / Commercial</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39"/>
  <sheetViews>
    <sheetView zoomScale="49" zoomScaleNormal="77" workbookViewId="0">
      <selection activeCell="J7" sqref="J7"/>
    </sheetView>
  </sheetViews>
  <sheetFormatPr baseColWidth="8" defaultRowHeight="14.4"/>
  <cols>
    <col width="53.6640625" customWidth="1" style="13" min="1" max="2"/>
    <col width="33.44140625" customWidth="1" style="13" min="3" max="4"/>
    <col width="32.109375" customWidth="1" style="13" min="5" max="5"/>
    <col width="47.33203125" customWidth="1" style="13" min="6" max="6"/>
    <col width="59.5546875" customWidth="1" style="13" min="7" max="7"/>
    <col width="29.77734375" customWidth="1" style="13" min="8" max="8"/>
    <col width="8.88671875" customWidth="1" style="13" min="9" max="9"/>
    <col width="37" customWidth="1" style="13" min="10" max="10"/>
    <col width="8.88671875" customWidth="1" style="13" min="11" max="16384"/>
  </cols>
  <sheetData>
    <row r="1">
      <c r="A1" s="26" t="n"/>
      <c r="B1" s="26" t="inlineStr">
        <is>
          <t>SPONSERED Product – Chettinad Chicken Curry Paste</t>
        </is>
      </c>
    </row>
    <row r="2">
      <c r="A2" s="12" t="inlineStr">
        <is>
          <t>ASIN- B0G1YXWM2P</t>
        </is>
      </c>
      <c r="B2" s="2" t="n"/>
      <c r="C2" s="2" t="n"/>
      <c r="D2" s="2" t="n"/>
      <c r="E2" s="2" t="n"/>
      <c r="F2" s="2" t="n"/>
    </row>
    <row r="3">
      <c r="A3" s="2" t="n"/>
      <c r="B3" s="2" t="n"/>
      <c r="C3" s="2" t="n"/>
      <c r="D3" s="2" t="n"/>
      <c r="E3" s="2" t="n"/>
      <c r="F3" s="2" t="n"/>
      <c r="G3" s="2" t="n"/>
    </row>
    <row r="4">
      <c r="A4" s="3" t="inlineStr">
        <is>
          <t>Campaign Objective</t>
        </is>
      </c>
      <c r="B4" s="3" t="inlineStr">
        <is>
          <t>Campaign Name</t>
        </is>
      </c>
      <c r="C4" s="3" t="inlineStr">
        <is>
          <t>Ad grp Name</t>
        </is>
      </c>
      <c r="D4" s="3" t="inlineStr">
        <is>
          <t>Bidding Strategy</t>
        </is>
      </c>
      <c r="E4" s="3" t="inlineStr">
        <is>
          <t xml:space="preserve">Advertised Product </t>
        </is>
      </c>
      <c r="F4" s="3" t="inlineStr">
        <is>
          <t>Targetting</t>
        </is>
      </c>
      <c r="G4" s="3" t="inlineStr">
        <is>
          <t>Negative Targetting</t>
        </is>
      </c>
    </row>
    <row r="5">
      <c r="A5" s="10" t="n"/>
      <c r="B5" s="10" t="inlineStr">
        <is>
          <t>Auto</t>
        </is>
      </c>
      <c r="C5" s="8" t="n"/>
      <c r="D5" s="8" t="n"/>
      <c r="E5" s="8" t="n"/>
      <c r="F5" s="8" t="n"/>
      <c r="G5" s="8" t="n"/>
    </row>
    <row r="6">
      <c r="A6" s="4" t="n"/>
      <c r="B6" s="4" t="n"/>
      <c r="C6" s="4" t="n"/>
      <c r="D6" s="4" t="n"/>
      <c r="E6" s="4" t="n"/>
      <c r="F6" s="4" t="n"/>
      <c r="G6" s="4" t="n"/>
    </row>
    <row r="7" ht="409.2" customHeight="1">
      <c r="A7" s="5" t="inlineStr">
        <is>
          <t>Conversion</t>
        </is>
      </c>
      <c r="B7" s="5" t="inlineStr">
        <is>
          <t>SP/ChettinadChicken /Auto</t>
        </is>
      </c>
      <c r="C7" s="5" t="inlineStr">
        <is>
          <t>ChettinadChicken-Auto</t>
        </is>
      </c>
      <c r="D7" s="5" t="inlineStr">
        <is>
          <t>Down only</t>
        </is>
      </c>
      <c r="E7" s="4" t="inlineStr">
        <is>
          <t xml:space="preserve"> B0G1YXWM2P</t>
        </is>
      </c>
      <c r="F7" s="5" t="inlineStr">
        <is>
          <t>- Close
- Loose
- Substitute 
- Complements</t>
        </is>
      </c>
      <c r="G7" s="25" t="inlineStr">
        <is>
          <t xml:space="preserve">Negate in Exact:
curry it
curryit
chicken curry masala
chettinad masala
chicken chettinad masala
curry paste
chicken curry masala powder
chettinad masala powder
chicken curry masala
chettinad chicken masala powder
cookd chettinad masala
curry paste indian
non veg curry masala paste
sakthi chettinad chicken masala
zoff chicken curry masala
ready to cook curry
mutton curry paste
ready to cook chicken curry
cooking pastes
india gate chettinad chicken masala
india gate classic chettinad chicken masala
ready to cook curry paste
mdh chicken curry masala
suhana chicken curry masala
everest chicken curry masala
aachi chicken curry masala
itc cooking paste
itc master chef cooking paste
priya non veg curry masala paste
aachi chettinad chicken masala
itc masterchef cooking paste
shan chicken curry masala
Negate Product:
B079H3DFP7
B0FLP9NYR1
B07BH4B384
B08MFLHMJC
B0CY8KKGGP
B09BD5VW64
B09BD5BNJ7
B0917NY7X6
B09BD583S6
B08H284SNC
B0777JV82Z
B0BV76DCY6
B0DPJ3P467
B0C53VBXVM
B0BV7783X7
B0C58S9P1K
B0G1YZ3K4T
B0G1Z87RV9
B0CL9D1PHY
B0G1YZ5K91
</t>
        </is>
      </c>
      <c r="J7" s="26" t="n"/>
    </row>
    <row r="8">
      <c r="A8" s="4" t="n"/>
      <c r="B8" s="4" t="n"/>
      <c r="C8" s="4" t="n"/>
      <c r="D8" s="4" t="n"/>
      <c r="E8" s="4" t="n"/>
      <c r="F8" s="4" t="n"/>
      <c r="G8" s="4" t="n"/>
    </row>
    <row r="9">
      <c r="A9" s="10" t="n"/>
      <c r="B9" s="10" t="inlineStr">
        <is>
          <t>Brand KW</t>
        </is>
      </c>
      <c r="C9" s="8" t="n"/>
      <c r="D9" s="8" t="n"/>
      <c r="E9" s="8" t="n"/>
      <c r="F9" s="8" t="n"/>
      <c r="G9" s="8" t="n"/>
    </row>
    <row r="10" ht="358.2" customHeight="1">
      <c r="A10" s="5" t="inlineStr">
        <is>
          <t>Conversion</t>
        </is>
      </c>
      <c r="B10" s="5" t="inlineStr">
        <is>
          <t>SP/ChettinadChicken/Brand KWs/Exact</t>
        </is>
      </c>
      <c r="C10" s="4" t="inlineStr">
        <is>
          <t>ChettinadChicken-Brand Kws- Exact</t>
        </is>
      </c>
      <c r="D10" s="4" t="inlineStr">
        <is>
          <t>Up and Down</t>
        </is>
      </c>
      <c r="E10" s="4" t="inlineStr">
        <is>
          <t xml:space="preserve"> B0G1YXWM2P</t>
        </is>
      </c>
      <c r="F10" s="4" t="inlineStr">
        <is>
          <t>curry it
curryit</t>
        </is>
      </c>
      <c r="G10" s="6" t="inlineStr">
        <is>
          <t>NA</t>
        </is>
      </c>
    </row>
    <row r="11">
      <c r="A11" s="4" t="n"/>
      <c r="B11" s="4" t="n"/>
      <c r="C11" s="4" t="n"/>
      <c r="D11" s="4" t="n"/>
      <c r="E11" s="4" t="n"/>
      <c r="F11" s="4" t="n"/>
      <c r="G11" s="4" t="n"/>
    </row>
    <row r="12" ht="43.2" customHeight="1">
      <c r="A12" s="5" t="inlineStr">
        <is>
          <t>Conversion</t>
        </is>
      </c>
      <c r="B12" s="5" t="inlineStr">
        <is>
          <t>SP/ChettinadChicken/Brand KWs/Phrase</t>
        </is>
      </c>
      <c r="C12" s="4" t="inlineStr">
        <is>
          <t>ChettinadChicken-Brand Kws- Phrase</t>
        </is>
      </c>
      <c r="D12" s="4" t="inlineStr">
        <is>
          <t>Up and Down</t>
        </is>
      </c>
      <c r="E12" s="4" t="inlineStr">
        <is>
          <t xml:space="preserve"> B0G1YXWM2P</t>
        </is>
      </c>
      <c r="F12" s="4" t="inlineStr">
        <is>
          <t>curry it
curryit</t>
        </is>
      </c>
      <c r="G12" s="25" t="inlineStr">
        <is>
          <t>Negate In EXACT
curry it
curryit</t>
        </is>
      </c>
    </row>
    <row r="13">
      <c r="A13" s="4" t="n"/>
      <c r="B13" s="4" t="n"/>
      <c r="C13" s="4" t="n"/>
      <c r="D13" s="4" t="n"/>
      <c r="E13" s="4" t="n"/>
      <c r="F13" s="4" t="n"/>
      <c r="G13" s="4" t="n"/>
    </row>
    <row r="14" ht="181.2" customHeight="1">
      <c r="A14" s="5" t="inlineStr">
        <is>
          <t>Conversion</t>
        </is>
      </c>
      <c r="B14" s="5" t="inlineStr">
        <is>
          <t>SP/ChettinadChicken/Brand KWs/Broad</t>
        </is>
      </c>
      <c r="C14" s="4" t="inlineStr">
        <is>
          <t>ChettinadChicken-Brand Kws- Broad</t>
        </is>
      </c>
      <c r="D14" s="4" t="inlineStr">
        <is>
          <t>Down Only</t>
        </is>
      </c>
      <c r="E14" s="4" t="inlineStr">
        <is>
          <t xml:space="preserve"> B0G1YXWM2P</t>
        </is>
      </c>
      <c r="F14" s="4" t="inlineStr">
        <is>
          <t>curry it
curryit</t>
        </is>
      </c>
      <c r="G14" s="25" t="inlineStr">
        <is>
          <t>Negate In Phrase
curry it
curryit</t>
        </is>
      </c>
    </row>
    <row r="15">
      <c r="A15" s="4" t="n"/>
      <c r="B15" s="4" t="n"/>
      <c r="C15" s="4" t="n"/>
      <c r="D15" s="4" t="n"/>
      <c r="E15" s="4" t="n"/>
      <c r="F15" s="4" t="n"/>
      <c r="G15" s="4" t="n"/>
    </row>
    <row r="16">
      <c r="A16" s="11" t="n"/>
      <c r="B16" s="11" t="inlineStr">
        <is>
          <t>Generic KWS</t>
        </is>
      </c>
      <c r="C16" s="8" t="n"/>
      <c r="D16" s="8" t="n"/>
      <c r="E16" s="8" t="n"/>
      <c r="F16" s="8" t="n"/>
      <c r="G16" s="8" t="n"/>
    </row>
    <row r="17" ht="409.2" customHeight="1">
      <c r="A17" s="5" t="inlineStr">
        <is>
          <t>Conversion</t>
        </is>
      </c>
      <c r="B17" s="5" t="inlineStr">
        <is>
          <t>SP/ChettinadChicken/Generic KWs/Exact</t>
        </is>
      </c>
      <c r="C17" s="4" t="inlineStr">
        <is>
          <t>ChettinadChicken-Geneirc Kws- Exact</t>
        </is>
      </c>
      <c r="D17" s="4" t="inlineStr">
        <is>
          <t>Up and Down</t>
        </is>
      </c>
      <c r="E17" s="4" t="inlineStr">
        <is>
          <t xml:space="preserve"> B0G1YXWM2P</t>
        </is>
      </c>
      <c r="F17" s="4" t="inlineStr">
        <is>
          <t>chicken curry masala
chettinad masala
chicken chettinad masala
curry paste
chicken curry masala powder
chettinad masala powder
chicken curry masala
chettinad chicken masala powder
cookd chettinad masala
curry paste indian
non veg curry masala paste
ready to cook curry
mutton curry paste
ready to cook chicken curry
cooking pastes
ready to cook curry paste</t>
        </is>
      </c>
      <c r="G17" s="6" t="inlineStr">
        <is>
          <t>NA</t>
        </is>
      </c>
    </row>
    <row r="18">
      <c r="A18" s="4" t="n"/>
      <c r="B18" s="4" t="n"/>
      <c r="C18" s="4" t="n"/>
      <c r="D18" s="4" t="n"/>
      <c r="E18" s="4" t="n"/>
      <c r="F18" s="4" t="n"/>
      <c r="G18" s="4" t="n"/>
    </row>
    <row r="19" ht="259.2" customHeight="1">
      <c r="A19" s="5" t="inlineStr">
        <is>
          <t>Conversion</t>
        </is>
      </c>
      <c r="B19" s="5" t="inlineStr">
        <is>
          <t>SP/ChettinadChicken/Generic KWs/Phrase</t>
        </is>
      </c>
      <c r="C19" s="4" t="inlineStr">
        <is>
          <t>ChettinadChicken-Geneirc Kws- Phrase</t>
        </is>
      </c>
      <c r="D19" s="4" t="inlineStr">
        <is>
          <t>Up and Down</t>
        </is>
      </c>
      <c r="E19" s="4" t="inlineStr">
        <is>
          <t xml:space="preserve"> B0G1YXWM2P</t>
        </is>
      </c>
      <c r="F19" s="4" t="inlineStr">
        <is>
          <t>chicken curry masala
chettinad masala
chicken chettinad masala
curry paste
chicken curry masala powder
chettinad masala powder
chicken curry masala
chettinad chicken masala powder
cookd chettinad masala
curry paste indian
non veg curry masala paste
ready to cook curry
mutton curry paste
ready to cook chicken curry
cooking pastes
ready to cook curry paste</t>
        </is>
      </c>
      <c r="G19" s="25" t="inlineStr">
        <is>
          <t>Negate in exact-
chicken curry masala
chettinad masala
chicken chettinad masala
curry paste
chicken curry masala powder
chettinad masala powder
chicken curry masala
chettinad chicken masala powder
cookd chettinad masala
curry paste indian
non veg curry masala paste
ready to cook curry
mutton curry paste
ready to cook chicken curry
cooking pastes
ready to cook curry paste</t>
        </is>
      </c>
    </row>
    <row r="20">
      <c r="A20" s="4" t="n"/>
      <c r="B20" s="4" t="n"/>
      <c r="C20" s="4" t="n"/>
      <c r="D20" s="4" t="n"/>
      <c r="E20" s="4" t="n"/>
      <c r="F20" s="4" t="n"/>
      <c r="G20" s="4" t="n"/>
    </row>
    <row r="21" ht="306.6" customHeight="1">
      <c r="A21" s="5" t="inlineStr">
        <is>
          <t>Conversion</t>
        </is>
      </c>
      <c r="B21" s="5" t="inlineStr">
        <is>
          <t>SP/ChettinadChicken/Generic KWs/Broad</t>
        </is>
      </c>
      <c r="C21" s="4" t="inlineStr">
        <is>
          <t>ChettinadChicken-Geneirc Kws- Broad</t>
        </is>
      </c>
      <c r="D21" s="4" t="inlineStr">
        <is>
          <t>Down Only</t>
        </is>
      </c>
      <c r="E21" s="4" t="inlineStr">
        <is>
          <t xml:space="preserve"> B0G1YXWM2P</t>
        </is>
      </c>
      <c r="F21" s="4" t="inlineStr">
        <is>
          <t>chicken curry masala
chettinad masala
chicken chettinad masala
curry paste
chicken curry masala powder
chettinad masala powder
chicken curry masala
chettinad chicken masala powder
cookd chettinad masala
curry paste indian
non veg curry masala paste
ready to cook curry
mutton curry paste
ready to cook chicken curry
cooking pastes
ready to cook curry paste</t>
        </is>
      </c>
      <c r="G21" s="25" t="inlineStr">
        <is>
          <t>Negate in Phrase-
chicken curry masala
chettinad masala
chicken chettinad masala
curry paste
chicken curry masala powder
chettinad masala powder
chicken curry masala
chettinad chicken masala powder
cookd chettinad masala
curry paste indian
non veg curry masala paste
ready to cook curry
mutton curry paste
ready to cook chicken curry
cooking pastes
ready to cook curry paste</t>
        </is>
      </c>
    </row>
    <row r="22">
      <c r="A22" s="4" t="n"/>
      <c r="B22" s="4" t="n"/>
      <c r="C22" s="4" t="n"/>
      <c r="D22" s="4" t="n"/>
      <c r="E22" s="4" t="n"/>
      <c r="F22" s="4" t="n"/>
      <c r="G22" s="4" t="n"/>
    </row>
    <row r="23">
      <c r="A23" s="10" t="n"/>
      <c r="B23" s="10" t="inlineStr">
        <is>
          <t>Competitiors Kws</t>
        </is>
      </c>
      <c r="C23" s="8" t="n"/>
      <c r="D23" s="8" t="n"/>
      <c r="E23" s="8" t="n"/>
      <c r="F23" s="8" t="n"/>
      <c r="G23" s="8" t="n"/>
    </row>
    <row r="24">
      <c r="A24" s="4" t="n"/>
      <c r="B24" s="4" t="n"/>
      <c r="C24" s="4" t="n"/>
      <c r="D24" s="4" t="n"/>
      <c r="E24" s="4" t="n"/>
      <c r="F24" s="4" t="n"/>
      <c r="G24" s="4" t="n"/>
    </row>
    <row r="25" ht="274.8" customHeight="1">
      <c r="A25" s="5" t="inlineStr">
        <is>
          <t>Consideration/ Awarness</t>
        </is>
      </c>
      <c r="B25" s="5" t="inlineStr">
        <is>
          <t>SP/ChettinadChicken/Comp KWs/Exact</t>
        </is>
      </c>
      <c r="C25" s="4" t="inlineStr">
        <is>
          <t>ChettinadChicken-Comp Kws- Exact</t>
        </is>
      </c>
      <c r="D25" s="4" t="inlineStr">
        <is>
          <t>Down Only</t>
        </is>
      </c>
      <c r="E25" s="4" t="inlineStr">
        <is>
          <t xml:space="preserve"> B0G1YXWM2P</t>
        </is>
      </c>
      <c r="F25" s="4" t="inlineStr">
        <is>
          <t>mdh chicken curry masala
suhana chicken curry masala
everest chicken curry masala
aachi chicken curry masala
itc cooking paste
itc master chef cooking paste
priya non veg curry masala paste
aachi chettinad chicken masala
itc masterchef cooking paste
shan chicken curry masala</t>
        </is>
      </c>
      <c r="G25" s="6" t="inlineStr">
        <is>
          <t>NA</t>
        </is>
      </c>
    </row>
    <row r="26">
      <c r="A26" s="4" t="n"/>
      <c r="B26" s="4" t="n"/>
      <c r="C26" s="4" t="n"/>
      <c r="D26" s="4" t="n"/>
      <c r="E26" s="4" t="n"/>
      <c r="F26" s="4" t="n"/>
      <c r="G26" s="4" t="n"/>
    </row>
    <row r="27" ht="366.6" customHeight="1">
      <c r="A27" s="5" t="inlineStr">
        <is>
          <t>Consideration/ Awarness</t>
        </is>
      </c>
      <c r="B27" s="5" t="inlineStr">
        <is>
          <t>SP/ChettinadChicken/Comp KWs/Phrase</t>
        </is>
      </c>
      <c r="C27" s="4" t="inlineStr">
        <is>
          <t>ChettinadChicken-Comp Kws- Phrase</t>
        </is>
      </c>
      <c r="D27" s="4" t="inlineStr">
        <is>
          <t>Down Only</t>
        </is>
      </c>
      <c r="E27" s="4" t="inlineStr">
        <is>
          <t xml:space="preserve"> B0G1YXWM2P</t>
        </is>
      </c>
      <c r="F27" s="4" t="inlineStr">
        <is>
          <t>mdh chicken curry masala
suhana chicken curry masala
everest chicken curry masala
aachi chicken curry masala
itc cooking paste
itc master chef cooking paste
priya non veg curry masala paste
aachi chettinad chicken masala
itc masterchef cooking paste
shan chicken curry masala</t>
        </is>
      </c>
      <c r="G27" s="25" t="inlineStr">
        <is>
          <t>Negate in exact-
mdh chicken curry masala
suhana chicken curry masala
everest chicken curry masala
aachi chicken curry masala
itc cooking paste
itc master chef cooking paste
priya non veg curry masala paste
aachi chettinad chicken masala
itc masterchef cooking paste
shan chicken curry masala</t>
        </is>
      </c>
    </row>
    <row r="28">
      <c r="A28" s="4" t="n"/>
      <c r="B28" s="4" t="n"/>
      <c r="C28" s="4" t="n"/>
      <c r="D28" s="4" t="n"/>
      <c r="E28" s="4" t="n"/>
      <c r="F28" s="4" t="n"/>
      <c r="G28" s="4" t="n"/>
    </row>
    <row r="29" ht="172.8" customHeight="1">
      <c r="A29" s="5" t="inlineStr">
        <is>
          <t>Consideration/ Awarness</t>
        </is>
      </c>
      <c r="B29" s="5" t="inlineStr">
        <is>
          <t>SP/ChettinadChicken/Comp KWs/Broad</t>
        </is>
      </c>
      <c r="C29" s="4" t="inlineStr">
        <is>
          <t>ChettinadChicken-Comp Kws- Broad</t>
        </is>
      </c>
      <c r="D29" s="4" t="inlineStr">
        <is>
          <t>Down Only</t>
        </is>
      </c>
      <c r="E29" s="4" t="inlineStr">
        <is>
          <t xml:space="preserve"> B0G1YXWM2P</t>
        </is>
      </c>
      <c r="F29" s="4" t="inlineStr">
        <is>
          <t>mdh chicken curry masala
suhana chicken curry masala
everest chicken curry masala
aachi chicken curry masala
itc cooking paste
itc master chef cooking paste
priya non veg curry masala paste
aachi chettinad chicken masala
itc masterchef cooking paste
shan chicken curry masala</t>
        </is>
      </c>
      <c r="G29" s="25" t="inlineStr">
        <is>
          <t>Negate in Phrase-
mdh chicken curry masala
suhana chicken curry masala
everest chicken curry masala
aachi chicken curry masala
itc cooking paste
itc master chef cooking paste
priya non veg curry masala paste
aachi chettinad chicken masala
itc masterchef cooking paste
shan chicken curry masala</t>
        </is>
      </c>
    </row>
    <row r="30">
      <c r="A30" s="4" t="n"/>
      <c r="B30" s="4" t="n"/>
      <c r="C30" s="4" t="n"/>
      <c r="D30" s="4" t="n"/>
      <c r="E30" s="4" t="n"/>
      <c r="F30" s="4" t="n"/>
      <c r="G30" s="4" t="n"/>
    </row>
    <row r="31">
      <c r="A31" s="10" t="n"/>
      <c r="B31" s="10" t="inlineStr">
        <is>
          <t xml:space="preserve">Category </t>
        </is>
      </c>
      <c r="C31" s="8" t="n"/>
      <c r="D31" s="8" t="n"/>
      <c r="E31" s="8" t="n"/>
      <c r="F31" s="8" t="n"/>
      <c r="G31" s="8" t="n"/>
    </row>
    <row r="32">
      <c r="A32" s="4" t="n"/>
      <c r="B32" s="4" t="n"/>
      <c r="C32" s="4" t="n"/>
      <c r="D32" s="4" t="n"/>
      <c r="E32" s="4" t="n"/>
      <c r="F32" s="4" t="n"/>
      <c r="G32" s="4" t="n"/>
    </row>
    <row r="33" ht="379.2" customHeight="1">
      <c r="A33" s="5" t="inlineStr">
        <is>
          <t>Awareness</t>
        </is>
      </c>
      <c r="B33" s="5" t="inlineStr">
        <is>
          <t>SP/Whey Protein/CT</t>
        </is>
      </c>
      <c r="C33" s="4" t="inlineStr">
        <is>
          <t>ChettinadChicken- CT</t>
        </is>
      </c>
      <c r="D33" s="4" t="inlineStr">
        <is>
          <t>Down Only</t>
        </is>
      </c>
      <c r="E33" s="4" t="inlineStr">
        <is>
          <t xml:space="preserve"> B0G1YXWM2P</t>
        </is>
      </c>
      <c r="F33" s="4" t="inlineStr">
        <is>
          <t>Cooking &amp; Baking Supplies›Spices &amp; Masalas›Powdered Spices, Seasonings &amp; Masalas›Mixed Spices &amp; Seasonings›Ready Masalas &amp; Curry Powder</t>
        </is>
      </c>
      <c r="G33" s="25" t="inlineStr">
        <is>
          <t xml:space="preserve">Negate in exact-
B079H3DFP7
B0FLP9NYR1
B07BH4B384
B08MFLHMJC
B0CY8KKGGP
B09BD5VW64
B09BD5BNJ7
B0917NY7X6
B09BD583S6
B08H284SNC
B0777JV82Z
B0BV76DCY6
B0DPJ3P467
B0C53VBXVM
B0BV7783X7
B0C58S9P1K
</t>
        </is>
      </c>
    </row>
    <row r="34">
      <c r="A34" s="4" t="n"/>
      <c r="B34" s="4" t="n"/>
      <c r="C34" s="4" t="n"/>
      <c r="D34" s="4" t="n"/>
      <c r="E34" s="4" t="n"/>
      <c r="F34" s="4" t="n"/>
      <c r="G34" s="4" t="n"/>
    </row>
    <row r="35">
      <c r="A35" s="10" t="n"/>
      <c r="B35" s="10" t="inlineStr">
        <is>
          <t xml:space="preserve">Individual </t>
        </is>
      </c>
      <c r="C35" s="8" t="n"/>
      <c r="D35" s="8" t="n"/>
      <c r="E35" s="8" t="n"/>
      <c r="F35" s="8" t="n"/>
      <c r="G35" s="8" t="n"/>
    </row>
    <row r="36">
      <c r="A36" s="4" t="n"/>
      <c r="B36" s="4" t="n"/>
      <c r="C36" s="4" t="n"/>
      <c r="D36" s="4" t="n"/>
      <c r="E36" s="4" t="n"/>
      <c r="F36" s="4" t="n"/>
      <c r="G36" s="4" t="n"/>
    </row>
    <row r="37" ht="230.4" customHeight="1">
      <c r="A37" s="5" t="inlineStr">
        <is>
          <t>Consideration</t>
        </is>
      </c>
      <c r="B37" s="5" t="inlineStr">
        <is>
          <t>SP/Whey Protein/IP/CompTar</t>
        </is>
      </c>
      <c r="C37" s="4" t="inlineStr">
        <is>
          <t>ChettinadChicken- IP</t>
        </is>
      </c>
      <c r="D37" s="9" t="inlineStr">
        <is>
          <t>Down Only</t>
        </is>
      </c>
      <c r="E37" s="4" t="inlineStr">
        <is>
          <t xml:space="preserve"> B0G1YXWM2P</t>
        </is>
      </c>
      <c r="F37" s="4" t="inlineStr">
        <is>
          <t>B079H3DFP7
B0FLP9NYR1
B07BH4B384
B08MFLHMJC
B0CY8KKGGP
B09BD5VW64
B09BD5BNJ7
B0917NY7X6
B09BD583S6
B08H284SNC
B0777JV82Z
B0BV76DCY6
B0DPJ3P467
B0C53VBXVM
B0BV7783X7
B0C58S9P1K</t>
        </is>
      </c>
      <c r="G37" s="6" t="inlineStr">
        <is>
          <t>NA</t>
        </is>
      </c>
    </row>
    <row r="38">
      <c r="A38" s="19" t="n"/>
      <c r="B38" s="19" t="n"/>
      <c r="C38" s="19" t="n"/>
      <c r="E38" s="19" t="n"/>
      <c r="F38" s="19" t="n"/>
      <c r="G38" s="19" t="n"/>
    </row>
    <row r="39" ht="57.6" customHeight="1">
      <c r="A39" s="5" t="inlineStr">
        <is>
          <t>Conversion</t>
        </is>
      </c>
      <c r="B39" s="5" t="inlineStr">
        <is>
          <t>SP/Whey Protein/IP/BrandTar</t>
        </is>
      </c>
      <c r="C39" s="4" t="inlineStr">
        <is>
          <t>ChettinadChicken- IP</t>
        </is>
      </c>
      <c r="D39" s="9" t="inlineStr">
        <is>
          <t>Down Only</t>
        </is>
      </c>
      <c r="E39" s="4" t="inlineStr">
        <is>
          <t xml:space="preserve"> B0G1YXWM2P</t>
        </is>
      </c>
      <c r="F39" s="4" t="inlineStr">
        <is>
          <t>B0G1YZ3K4T
B0G1Z87RV9
B0CL9D1PHY
B0G1YZ5K91</t>
        </is>
      </c>
      <c r="G39" s="6" t="inlineStr">
        <is>
          <t>NA</t>
        </is>
      </c>
    </row>
  </sheetData>
  <mergeCells count="1">
    <mergeCell ref="B1:G1"/>
  </mergeCells>
  <pageMargins left="0.7" right="0.7" top="0.75" bottom="0.75" header="0.3" footer="0.3"/>
  <pageSetup orientation="portrait"/>
</worksheet>
</file>

<file path=xl/worksheets/sheet6.xml><?xml version="1.0" encoding="utf-8"?>
<worksheet xmlns="http://schemas.openxmlformats.org/spreadsheetml/2006/main">
  <sheetPr>
    <outlinePr summaryBelow="1" summaryRight="1"/>
    <pageSetUpPr/>
  </sheetPr>
  <dimension ref="A1:H49"/>
  <sheetViews>
    <sheetView zoomScale="60" workbookViewId="0">
      <selection activeCell="B19" sqref="B19:B26"/>
    </sheetView>
  </sheetViews>
  <sheetFormatPr baseColWidth="8" defaultRowHeight="14.4"/>
  <cols>
    <col width="36.6640625" customWidth="1" style="14" min="1" max="1"/>
    <col width="46.6640625" customWidth="1" style="1" min="2" max="2"/>
    <col width="53.77734375" customWidth="1" min="3" max="3"/>
    <col width="39.6640625" customWidth="1" min="4" max="4"/>
    <col width="68.88671875" customWidth="1" min="5" max="5"/>
    <col width="62.33203125" customWidth="1" min="6" max="6"/>
    <col width="56.109375" customWidth="1" min="7" max="7"/>
    <col width="119.33203125" customWidth="1" min="8" max="8"/>
  </cols>
  <sheetData>
    <row r="1" ht="18" customHeight="1">
      <c r="A1" s="27" t="n"/>
      <c r="B1" s="28" t="inlineStr">
        <is>
          <t>SPONSERED BRAND (SB) – ChettinadChicken Chettinad Chicken Curry Paste</t>
        </is>
      </c>
    </row>
    <row r="2" ht="13.2" customFormat="1" customHeight="1" s="3">
      <c r="A2" s="20" t="inlineStr">
        <is>
          <t>Campaign Objective</t>
        </is>
      </c>
      <c r="B2" s="15" t="inlineStr">
        <is>
          <t>Campaign Name</t>
        </is>
      </c>
      <c r="C2" s="3" t="inlineStr">
        <is>
          <t>Ad grp Name</t>
        </is>
      </c>
      <c r="D2" s="3" t="inlineStr">
        <is>
          <t>Advertised Product</t>
        </is>
      </c>
      <c r="E2" s="3" t="inlineStr">
        <is>
          <t>Ad Format</t>
        </is>
      </c>
      <c r="F2" s="3" t="inlineStr">
        <is>
          <t>Targeting</t>
        </is>
      </c>
      <c r="G2" s="3" t="inlineStr">
        <is>
          <t>Negative Targeting</t>
        </is>
      </c>
      <c r="H2" s="15" t="n"/>
    </row>
    <row r="3">
      <c r="A3" s="27" t="inlineStr">
        <is>
          <t>Conversion</t>
        </is>
      </c>
      <c r="B3" s="30" t="inlineStr">
        <is>
          <t>SB/ChettinadChicken/Video/Brand kws-Exact</t>
        </is>
      </c>
      <c r="C3" s="32" t="inlineStr">
        <is>
          <t>Video - Brand Exact</t>
        </is>
      </c>
      <c r="D3" s="32" t="inlineStr">
        <is>
          <t>B0G1YXWM2P</t>
        </is>
      </c>
      <c r="E3" s="32" t="inlineStr">
        <is>
          <t>Video</t>
        </is>
      </c>
      <c r="F3" s="35" t="inlineStr">
        <is>
          <t>curry it
curryit</t>
        </is>
      </c>
      <c r="G3" s="34" t="inlineStr">
        <is>
          <t>N/A</t>
        </is>
      </c>
    </row>
    <row r="4">
      <c r="A4" s="57" t="n"/>
      <c r="B4" s="58" t="n"/>
      <c r="C4" s="57" t="n"/>
      <c r="D4" s="57" t="n"/>
      <c r="E4" s="57" t="n"/>
      <c r="F4" s="57" t="n"/>
      <c r="G4" s="57" t="n"/>
    </row>
    <row r="5">
      <c r="A5" s="57" t="n"/>
      <c r="B5" s="58" t="n"/>
      <c r="C5" s="57" t="n"/>
      <c r="D5" s="57" t="n"/>
      <c r="E5" s="57" t="n"/>
      <c r="F5" s="57" t="n"/>
      <c r="G5" s="57" t="n"/>
    </row>
    <row r="6" ht="97.2" customHeight="1">
      <c r="A6" s="59" t="n"/>
      <c r="B6" s="60" t="n"/>
      <c r="C6" s="59" t="n"/>
      <c r="D6" s="59" t="n"/>
      <c r="E6" s="59" t="n"/>
      <c r="F6" s="59" t="n"/>
      <c r="G6" s="59" t="n"/>
    </row>
    <row r="7">
      <c r="A7" s="27" t="inlineStr">
        <is>
          <t>Conversion</t>
        </is>
      </c>
      <c r="B7" s="30" t="inlineStr">
        <is>
          <t>SB/ChettinadChicken/Video/Brand kws-Pharse</t>
        </is>
      </c>
      <c r="C7" s="32" t="inlineStr">
        <is>
          <t>Video - Brand Pharse</t>
        </is>
      </c>
      <c r="D7" s="32" t="inlineStr">
        <is>
          <t>B0G1YXWM2P</t>
        </is>
      </c>
      <c r="E7" s="32" t="inlineStr">
        <is>
          <t>Video</t>
        </is>
      </c>
      <c r="F7" s="35" t="inlineStr">
        <is>
          <t>curry it
curryit</t>
        </is>
      </c>
      <c r="G7" s="36" t="inlineStr">
        <is>
          <t>Negate in Exact
curry it
curryit</t>
        </is>
      </c>
    </row>
    <row r="8">
      <c r="A8" s="57" t="n"/>
      <c r="B8" s="58" t="n"/>
      <c r="C8" s="57" t="n"/>
      <c r="D8" s="57" t="n"/>
      <c r="E8" s="57" t="n"/>
      <c r="F8" s="57" t="n"/>
      <c r="G8" s="57" t="n"/>
    </row>
    <row r="9">
      <c r="A9" s="57" t="n"/>
      <c r="B9" s="58" t="n"/>
      <c r="C9" s="57" t="n"/>
      <c r="D9" s="57" t="n"/>
      <c r="E9" s="57" t="n"/>
      <c r="F9" s="57" t="n"/>
      <c r="G9" s="57" t="n"/>
    </row>
    <row r="10">
      <c r="A10" s="57" t="n"/>
      <c r="B10" s="58" t="n"/>
      <c r="C10" s="57" t="n"/>
      <c r="D10" s="57" t="n"/>
      <c r="E10" s="57" t="n"/>
      <c r="F10" s="57" t="n"/>
      <c r="G10" s="57" t="n"/>
    </row>
    <row r="11">
      <c r="A11" s="59" t="n"/>
      <c r="B11" s="60" t="n"/>
      <c r="C11" s="59" t="n"/>
      <c r="D11" s="59" t="n"/>
      <c r="E11" s="59" t="n"/>
      <c r="F11" s="59" t="n"/>
      <c r="G11" s="59" t="n"/>
    </row>
    <row r="12">
      <c r="A12" s="27" t="inlineStr">
        <is>
          <t>Conversion</t>
        </is>
      </c>
      <c r="B12" s="30" t="inlineStr">
        <is>
          <t>SB/ChettinadChicken/Video/Generic Chettinad kws-Exact</t>
        </is>
      </c>
      <c r="C12" s="32" t="inlineStr">
        <is>
          <t>Video - Chettinad Exact</t>
        </is>
      </c>
      <c r="D12" s="32" t="inlineStr">
        <is>
          <t xml:space="preserve"> B0G1YXWM2P</t>
        </is>
      </c>
      <c r="E12" s="32" t="inlineStr">
        <is>
          <t>Video</t>
        </is>
      </c>
      <c r="F12" s="35" t="inlineStr">
        <is>
          <t>chicken curry masala
chettinad masala
chicken chettinad masala
curry paste
chicken curry masala powder
chettinad masala powder
chicken curry masala
chettinad chicken masala powder
cookd chettinad masala
curry paste indian
non veg curry masala paste
ready to cook curry
mutton curry paste
ready to cook chicken curry
cooking pastes
ready to cook curry paste</t>
        </is>
      </c>
      <c r="G12" s="34" t="inlineStr">
        <is>
          <t>N/A</t>
        </is>
      </c>
    </row>
    <row r="13">
      <c r="A13" s="57" t="n"/>
      <c r="B13" s="58" t="n"/>
      <c r="C13" s="57" t="n"/>
      <c r="D13" s="57" t="n"/>
      <c r="E13" s="57" t="n"/>
      <c r="F13" s="57" t="n"/>
      <c r="G13" s="57" t="n"/>
    </row>
    <row r="14">
      <c r="A14" s="57" t="n"/>
      <c r="B14" s="58" t="n"/>
      <c r="C14" s="57" t="n"/>
      <c r="D14" s="57" t="n"/>
      <c r="E14" s="57" t="n"/>
      <c r="F14" s="57" t="n"/>
      <c r="G14" s="57" t="n"/>
    </row>
    <row r="15">
      <c r="A15" s="57" t="n"/>
      <c r="B15" s="58" t="n"/>
      <c r="C15" s="57" t="n"/>
      <c r="D15" s="57" t="n"/>
      <c r="E15" s="57" t="n"/>
      <c r="F15" s="57" t="n"/>
      <c r="G15" s="57" t="n"/>
    </row>
    <row r="16">
      <c r="A16" s="57" t="n"/>
      <c r="B16" s="58" t="n"/>
      <c r="C16" s="57" t="n"/>
      <c r="D16" s="57" t="n"/>
      <c r="E16" s="57" t="n"/>
      <c r="F16" s="57" t="n"/>
      <c r="G16" s="57" t="n"/>
    </row>
    <row r="17">
      <c r="A17" s="57" t="n"/>
      <c r="B17" s="58" t="n"/>
      <c r="C17" s="57" t="n"/>
      <c r="D17" s="57" t="n"/>
      <c r="E17" s="57" t="n"/>
      <c r="F17" s="57" t="n"/>
      <c r="G17" s="57" t="n"/>
    </row>
    <row r="18" ht="217.8" customHeight="1">
      <c r="A18" s="59" t="n"/>
      <c r="B18" s="60" t="n"/>
      <c r="C18" s="59" t="n"/>
      <c r="D18" s="59" t="n"/>
      <c r="E18" s="59" t="n"/>
      <c r="F18" s="59" t="n"/>
      <c r="G18" s="59" t="n"/>
    </row>
    <row r="19">
      <c r="A19" s="27" t="inlineStr">
        <is>
          <t>Conversion/ Awarenss</t>
        </is>
      </c>
      <c r="B19" s="30" t="inlineStr">
        <is>
          <t>SB/ChettinadChicken/Video/Generic Chettinad kws-Pharse</t>
        </is>
      </c>
      <c r="C19" s="32" t="inlineStr">
        <is>
          <t>Video - Chettinad Pharse</t>
        </is>
      </c>
      <c r="D19" s="32" t="inlineStr">
        <is>
          <t xml:space="preserve"> B0G1YXWM2P</t>
        </is>
      </c>
      <c r="E19" s="32" t="inlineStr">
        <is>
          <t>Video</t>
        </is>
      </c>
      <c r="F19" s="35" t="inlineStr">
        <is>
          <t>chicken curry masala
chettinad masala
chicken chettinad masala
curry paste
chicken curry masala powder
chettinad masala powder
chicken curry masala
chettinad chicken masala powder
cookd chettinad masala
curry paste indian
non veg curry masala paste
ready to cook curry
mutton curry paste
ready to cook chicken curry
cooking pastes
ready to cook curry paste</t>
        </is>
      </c>
      <c r="G19" s="36" t="inlineStr">
        <is>
          <t>Negate in Exact
chicken curry masala
chettinad masala
chicken chettinad masala
curry paste
chicken curry masala powder
chettinad masala powder
chicken curry masala
chettinad chicken masala powder
cookd chettinad masala
curry paste indian
non veg curry masala paste
ready to cook curry
mutton curry paste
ready to cook chicken curry
cooking pastes
ready to cook curry paste</t>
        </is>
      </c>
    </row>
    <row r="20">
      <c r="A20" s="57" t="n"/>
      <c r="B20" s="58" t="n"/>
      <c r="C20" s="57" t="n"/>
      <c r="D20" s="57" t="n"/>
      <c r="E20" s="57" t="n"/>
      <c r="F20" s="57" t="n"/>
      <c r="G20" s="57" t="n"/>
    </row>
    <row r="21">
      <c r="A21" s="57" t="n"/>
      <c r="B21" s="58" t="n"/>
      <c r="C21" s="57" t="n"/>
      <c r="D21" s="57" t="n"/>
      <c r="E21" s="57" t="n"/>
      <c r="F21" s="57" t="n"/>
      <c r="G21" s="57" t="n"/>
    </row>
    <row r="22">
      <c r="A22" s="57" t="n"/>
      <c r="B22" s="58" t="n"/>
      <c r="C22" s="57" t="n"/>
      <c r="D22" s="57" t="n"/>
      <c r="E22" s="57" t="n"/>
      <c r="F22" s="57" t="n"/>
      <c r="G22" s="57" t="n"/>
    </row>
    <row r="23">
      <c r="A23" s="57" t="n"/>
      <c r="B23" s="58" t="n"/>
      <c r="C23" s="57" t="n"/>
      <c r="D23" s="57" t="n"/>
      <c r="E23" s="57" t="n"/>
      <c r="F23" s="57" t="n"/>
      <c r="G23" s="57" t="n"/>
    </row>
    <row r="24">
      <c r="A24" s="57" t="n"/>
      <c r="B24" s="58" t="n"/>
      <c r="C24" s="57" t="n"/>
      <c r="D24" s="57" t="n"/>
      <c r="E24" s="57" t="n"/>
      <c r="F24" s="57" t="n"/>
      <c r="G24" s="57" t="n"/>
    </row>
    <row r="25">
      <c r="A25" s="57" t="n"/>
      <c r="B25" s="58" t="n"/>
      <c r="C25" s="57" t="n"/>
      <c r="D25" s="57" t="n"/>
      <c r="E25" s="57" t="n"/>
      <c r="F25" s="57" t="n"/>
      <c r="G25" s="57" t="n"/>
    </row>
    <row r="26" ht="182.4" customHeight="1">
      <c r="A26" s="59" t="n"/>
      <c r="B26" s="60" t="n"/>
      <c r="C26" s="59" t="n"/>
      <c r="D26" s="59" t="n"/>
      <c r="E26" s="59" t="n"/>
      <c r="F26" s="59" t="n"/>
      <c r="G26" s="59" t="n"/>
    </row>
    <row r="27">
      <c r="A27" s="27" t="inlineStr">
        <is>
          <t>Consideration/ Awareness</t>
        </is>
      </c>
      <c r="B27" s="30" t="inlineStr">
        <is>
          <t>SB/ChettinadChicken/Video/Comp Chettinad kws-Exact</t>
        </is>
      </c>
      <c r="C27" s="32" t="inlineStr">
        <is>
          <t>Video - Comp Chettinad Exact</t>
        </is>
      </c>
      <c r="D27" s="32" t="inlineStr">
        <is>
          <t xml:space="preserve"> B0G1YXWM2P</t>
        </is>
      </c>
      <c r="E27" s="32" t="inlineStr">
        <is>
          <t>Video</t>
        </is>
      </c>
      <c r="F27" s="35" t="inlineStr">
        <is>
          <t>mdh chicken curry masala
suhana chicken curry masala
everest chicken curry masala
aachi chicken curry masala
itc cooking paste
itc master chef cooking paste
priya non veg curry masala paste
aachi chettinad chicken masala
itc masterchef cooking paste
shan chicken curry masala</t>
        </is>
      </c>
      <c r="G27" s="34" t="inlineStr">
        <is>
          <t>N/A</t>
        </is>
      </c>
    </row>
    <row r="28">
      <c r="A28" s="57" t="n"/>
      <c r="B28" s="58" t="n"/>
      <c r="C28" s="57" t="n"/>
      <c r="D28" s="57" t="n"/>
      <c r="E28" s="57" t="n"/>
      <c r="F28" s="57" t="n"/>
      <c r="G28" s="57" t="n"/>
    </row>
    <row r="29">
      <c r="A29" s="57" t="n"/>
      <c r="B29" s="58" t="n"/>
      <c r="C29" s="57" t="n"/>
      <c r="D29" s="57" t="n"/>
      <c r="E29" s="57" t="n"/>
      <c r="F29" s="57" t="n"/>
      <c r="G29" s="57" t="n"/>
    </row>
    <row r="30">
      <c r="A30" s="57" t="n"/>
      <c r="B30" s="58" t="n"/>
      <c r="C30" s="57" t="n"/>
      <c r="D30" s="57" t="n"/>
      <c r="E30" s="57" t="n"/>
      <c r="F30" s="57" t="n"/>
      <c r="G30" s="57" t="n"/>
    </row>
    <row r="31">
      <c r="A31" s="57" t="n"/>
      <c r="B31" s="58" t="n"/>
      <c r="C31" s="57" t="n"/>
      <c r="D31" s="57" t="n"/>
      <c r="E31" s="57" t="n"/>
      <c r="F31" s="57" t="n"/>
      <c r="G31" s="57" t="n"/>
    </row>
    <row r="32">
      <c r="A32" s="57" t="n"/>
      <c r="B32" s="58" t="n"/>
      <c r="C32" s="57" t="n"/>
      <c r="D32" s="57" t="n"/>
      <c r="E32" s="57" t="n"/>
      <c r="F32" s="57" t="n"/>
      <c r="G32" s="57" t="n"/>
    </row>
    <row r="33">
      <c r="A33" s="57" t="n"/>
      <c r="B33" s="58" t="n"/>
      <c r="C33" s="57" t="n"/>
      <c r="D33" s="57" t="n"/>
      <c r="E33" s="57" t="n"/>
      <c r="F33" s="57" t="n"/>
      <c r="G33" s="57" t="n"/>
    </row>
    <row r="34">
      <c r="A34" s="57" t="n"/>
      <c r="B34" s="58" t="n"/>
      <c r="C34" s="57" t="n"/>
      <c r="D34" s="57" t="n"/>
      <c r="E34" s="57" t="n"/>
      <c r="F34" s="57" t="n"/>
      <c r="G34" s="57" t="n"/>
    </row>
    <row r="35">
      <c r="A35" s="57" t="n"/>
      <c r="B35" s="58" t="n"/>
      <c r="C35" s="57" t="n"/>
      <c r="D35" s="57" t="n"/>
      <c r="E35" s="57" t="n"/>
      <c r="F35" s="57" t="n"/>
      <c r="G35" s="57" t="n"/>
    </row>
    <row r="36">
      <c r="A36" s="57" t="n"/>
      <c r="B36" s="58" t="n"/>
      <c r="C36" s="57" t="n"/>
      <c r="D36" s="57" t="n"/>
      <c r="E36" s="57" t="n"/>
      <c r="F36" s="57" t="n"/>
      <c r="G36" s="57" t="n"/>
    </row>
    <row r="37">
      <c r="A37" s="59" t="n"/>
      <c r="B37" s="60" t="n"/>
      <c r="C37" s="59" t="n"/>
      <c r="D37" s="59" t="n"/>
      <c r="E37" s="59" t="n"/>
      <c r="F37" s="59" t="n"/>
      <c r="G37" s="59" t="n"/>
    </row>
    <row r="38">
      <c r="A38" s="27" t="inlineStr">
        <is>
          <t>Consideration/ Awareness</t>
        </is>
      </c>
      <c r="B38" s="30" t="inlineStr">
        <is>
          <t>SB/ChettinadChicken/Video/Comp Chettinad kws-Pharse</t>
        </is>
      </c>
      <c r="C38" s="32" t="inlineStr">
        <is>
          <t>Video - Comp Chettinad Pharse</t>
        </is>
      </c>
      <c r="D38" s="32" t="inlineStr">
        <is>
          <t xml:space="preserve"> B0G1YXWM2P</t>
        </is>
      </c>
      <c r="E38" s="32" t="inlineStr">
        <is>
          <t>Video</t>
        </is>
      </c>
      <c r="F38" s="35" t="inlineStr">
        <is>
          <t>mdh chicken curry masala
suhana chicken curry masala
everest chicken curry masala
aachi chicken curry masala
itc cooking paste
itc master chef cooking paste
priya non veg curry masala paste
aachi chettinad chicken masala
itc masterchef cooking paste
shan chicken curry masala</t>
        </is>
      </c>
      <c r="G38" s="36" t="inlineStr">
        <is>
          <t>Negate in Exact
mdh chicken curry masala
suhana chicken curry masala
everest chicken curry masala
aachi chicken curry masala
itc cooking paste
itc master chef cooking paste
priya non veg curry masala paste
aachi chettinad chicken masala
itc masterchef cooking paste
shan chicken curry masala</t>
        </is>
      </c>
    </row>
    <row r="39">
      <c r="A39" s="57" t="n"/>
      <c r="B39" s="58" t="n"/>
      <c r="C39" s="57" t="n"/>
      <c r="D39" s="57" t="n"/>
      <c r="E39" s="57" t="n"/>
      <c r="F39" s="57" t="n"/>
      <c r="G39" s="57" t="n"/>
    </row>
    <row r="40">
      <c r="A40" s="57" t="n"/>
      <c r="B40" s="58" t="n"/>
      <c r="C40" s="57" t="n"/>
      <c r="D40" s="57" t="n"/>
      <c r="E40" s="57" t="n"/>
      <c r="F40" s="57" t="n"/>
      <c r="G40" s="57" t="n"/>
    </row>
    <row r="41">
      <c r="A41" s="57" t="n"/>
      <c r="B41" s="58" t="n"/>
      <c r="C41" s="57" t="n"/>
      <c r="D41" s="57" t="n"/>
      <c r="E41" s="57" t="n"/>
      <c r="F41" s="57" t="n"/>
      <c r="G41" s="57" t="n"/>
    </row>
    <row r="42">
      <c r="A42" s="57" t="n"/>
      <c r="B42" s="58" t="n"/>
      <c r="C42" s="57" t="n"/>
      <c r="D42" s="57" t="n"/>
      <c r="E42" s="57" t="n"/>
      <c r="F42" s="57" t="n"/>
      <c r="G42" s="57" t="n"/>
    </row>
    <row r="43">
      <c r="A43" s="57" t="n"/>
      <c r="B43" s="58" t="n"/>
      <c r="C43" s="57" t="n"/>
      <c r="D43" s="57" t="n"/>
      <c r="E43" s="57" t="n"/>
      <c r="F43" s="57" t="n"/>
      <c r="G43" s="57" t="n"/>
    </row>
    <row r="44">
      <c r="A44" s="57" t="n"/>
      <c r="B44" s="58" t="n"/>
      <c r="C44" s="57" t="n"/>
      <c r="D44" s="57" t="n"/>
      <c r="E44" s="57" t="n"/>
      <c r="F44" s="57" t="n"/>
      <c r="G44" s="57" t="n"/>
    </row>
    <row r="45">
      <c r="A45" s="57" t="n"/>
      <c r="B45" s="58" t="n"/>
      <c r="C45" s="57" t="n"/>
      <c r="D45" s="57" t="n"/>
      <c r="E45" s="57" t="n"/>
      <c r="F45" s="57" t="n"/>
      <c r="G45" s="57" t="n"/>
    </row>
    <row r="46">
      <c r="A46" s="57" t="n"/>
      <c r="B46" s="58" t="n"/>
      <c r="C46" s="57" t="n"/>
      <c r="D46" s="57" t="n"/>
      <c r="E46" s="57" t="n"/>
      <c r="F46" s="57" t="n"/>
      <c r="G46" s="57" t="n"/>
    </row>
    <row r="47">
      <c r="A47" s="57" t="n"/>
      <c r="B47" s="58" t="n"/>
      <c r="C47" s="57" t="n"/>
      <c r="D47" s="57" t="n"/>
      <c r="E47" s="57" t="n"/>
      <c r="F47" s="57" t="n"/>
      <c r="G47" s="57" t="n"/>
    </row>
    <row r="48">
      <c r="A48" s="57" t="n"/>
      <c r="B48" s="58" t="n"/>
      <c r="C48" s="57" t="n"/>
      <c r="D48" s="57" t="n"/>
      <c r="E48" s="57" t="n"/>
      <c r="F48" s="57" t="n"/>
      <c r="G48" s="57" t="n"/>
    </row>
    <row r="49">
      <c r="A49" s="59" t="n"/>
      <c r="B49" s="60" t="n"/>
      <c r="C49" s="59" t="n"/>
      <c r="D49" s="59" t="n"/>
      <c r="E49" s="59" t="n"/>
      <c r="F49" s="59" t="n"/>
      <c r="G49" s="59" t="n"/>
    </row>
  </sheetData>
  <mergeCells count="43">
    <mergeCell ref="D27:D37"/>
    <mergeCell ref="A12:A18"/>
    <mergeCell ref="C12:C18"/>
    <mergeCell ref="A38:A49"/>
    <mergeCell ref="B3:B6"/>
    <mergeCell ref="C38:C49"/>
    <mergeCell ref="D19:D26"/>
    <mergeCell ref="D12:D18"/>
    <mergeCell ref="F19:F26"/>
    <mergeCell ref="E7:E11"/>
    <mergeCell ref="A27:A37"/>
    <mergeCell ref="C27:C37"/>
    <mergeCell ref="E27:E37"/>
    <mergeCell ref="F3:F6"/>
    <mergeCell ref="C7:C11"/>
    <mergeCell ref="G3:G6"/>
    <mergeCell ref="D38:D49"/>
    <mergeCell ref="A3:A6"/>
    <mergeCell ref="E19:E26"/>
    <mergeCell ref="B7:B11"/>
    <mergeCell ref="B27:B37"/>
    <mergeCell ref="G19:G26"/>
    <mergeCell ref="F27:F37"/>
    <mergeCell ref="E12:E18"/>
    <mergeCell ref="G12:G18"/>
    <mergeCell ref="F7:F11"/>
    <mergeCell ref="D3:D6"/>
    <mergeCell ref="E38:E49"/>
    <mergeCell ref="G38:G49"/>
    <mergeCell ref="B19:B26"/>
    <mergeCell ref="B12:B18"/>
    <mergeCell ref="A7:A11"/>
    <mergeCell ref="G7:G11"/>
    <mergeCell ref="G27:G37"/>
    <mergeCell ref="B1:H1"/>
    <mergeCell ref="F12:F18"/>
    <mergeCell ref="C3:C6"/>
    <mergeCell ref="B38:B49"/>
    <mergeCell ref="E3:E6"/>
    <mergeCell ref="F38:F49"/>
    <mergeCell ref="D7:D11"/>
    <mergeCell ref="C19:C26"/>
    <mergeCell ref="A19:A26"/>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L13"/>
  <sheetViews>
    <sheetView zoomScale="49" workbookViewId="0">
      <selection activeCell="A2" sqref="A2"/>
    </sheetView>
  </sheetViews>
  <sheetFormatPr baseColWidth="8" defaultRowHeight="14.4"/>
  <cols>
    <col width="29.21875" customWidth="1" style="26" min="1" max="1"/>
    <col width="54.44140625" customWidth="1" style="26" min="2" max="2"/>
    <col width="94.33203125" customWidth="1" style="26" min="3" max="3"/>
    <col width="35" customWidth="1" style="26" min="4" max="4"/>
    <col width="53.77734375" customWidth="1" style="26" min="5" max="5"/>
    <col width="49.44140625" customWidth="1" style="26" min="6" max="6"/>
    <col width="8.88671875" customWidth="1" style="26" min="7" max="16384"/>
  </cols>
  <sheetData>
    <row r="1">
      <c r="B1" s="26" t="inlineStr">
        <is>
          <t>SPONSORED DISPLAY (SD) – Contextual Chettinad Chicken Curry Paste</t>
        </is>
      </c>
    </row>
    <row r="2" ht="13.2" customFormat="1" customHeight="1" s="20">
      <c r="A2" s="20" t="inlineStr">
        <is>
          <t>Campaign Objective</t>
        </is>
      </c>
      <c r="B2" s="20" t="inlineStr">
        <is>
          <t>Campaign Name</t>
        </is>
      </c>
      <c r="C2" s="20" t="inlineStr">
        <is>
          <t>Ad grp Name</t>
        </is>
      </c>
      <c r="D2" s="20" t="inlineStr">
        <is>
          <t>Ad Format</t>
        </is>
      </c>
      <c r="E2" s="20" t="inlineStr">
        <is>
          <t>Advertised Product</t>
        </is>
      </c>
      <c r="F2" s="20" t="inlineStr">
        <is>
          <t>Targeting</t>
        </is>
      </c>
      <c r="G2" s="21" t="n"/>
    </row>
    <row r="3" ht="286.8" customHeight="1">
      <c r="A3" s="18" t="inlineStr">
        <is>
          <t>Consideration</t>
        </is>
      </c>
      <c r="B3" s="22" t="inlineStr">
        <is>
          <t>SD/Chettinad Chicken/Contextual/IP</t>
        </is>
      </c>
      <c r="C3" s="35" t="inlineStr">
        <is>
          <t>Chettinad Paste/Contextual/IP-Comp Curry Paste</t>
        </is>
      </c>
      <c r="D3" s="35" t="inlineStr">
        <is>
          <t>Video</t>
        </is>
      </c>
      <c r="E3" s="35" t="inlineStr">
        <is>
          <t>B0G1YXWM2P</t>
        </is>
      </c>
      <c r="F3" s="35" t="inlineStr">
        <is>
          <t>B079H3DFP7
B0FLP9NYR1
B07BH4B384
B08MFLHMJC
B0CY8KKGGP
B09BD5VW64
B09BD5BNJ7
B0917NY7X6
B09BD583S6
B08H284SNC
B0777JV82Z
B0BV76DCY6
B0DPJ3P467
B0C53VBXVM
B0BV7783X7
B0C58S9P1K</t>
        </is>
      </c>
    </row>
    <row r="4">
      <c r="A4" s="18" t="n"/>
      <c r="B4" s="35" t="n"/>
      <c r="C4" s="35" t="n"/>
      <c r="D4" s="35" t="n"/>
      <c r="E4" s="35" t="n"/>
      <c r="F4" s="35" t="n"/>
    </row>
    <row r="5" ht="43.2" customHeight="1">
      <c r="A5" s="18" t="inlineStr">
        <is>
          <t>Consideration</t>
        </is>
      </c>
      <c r="B5" s="22" t="inlineStr">
        <is>
          <t>SD/Contextual/Contextual/CT</t>
        </is>
      </c>
      <c r="C5" s="35" t="inlineStr">
        <is>
          <t xml:space="preserve">Chettinad Paste/Contextual/CT-Pastes </t>
        </is>
      </c>
      <c r="D5" s="35" t="inlineStr">
        <is>
          <t>Video</t>
        </is>
      </c>
      <c r="E5" s="35" t="inlineStr">
        <is>
          <t>B0G1YXWM2P</t>
        </is>
      </c>
      <c r="F5" s="35" t="inlineStr">
        <is>
          <t>Cooking &amp; Baking Supplies›Spices &amp; Masalas›Powdered Spices, Seasonings &amp; Masalas›Mixed Spices &amp; Seasonings›Ready Masalas &amp; Curry Powder</t>
        </is>
      </c>
    </row>
    <row r="6" ht="17.4" customHeight="1">
      <c r="A6" s="18" t="n"/>
      <c r="B6" s="35" t="n"/>
      <c r="C6" s="18" t="n"/>
      <c r="D6" s="18" t="n"/>
      <c r="E6" s="18" t="n"/>
      <c r="F6" s="35" t="n"/>
    </row>
    <row r="7" ht="57.6" customHeight="1">
      <c r="A7" s="18" t="inlineStr">
        <is>
          <t>Conversion</t>
        </is>
      </c>
      <c r="B7" s="22" t="inlineStr">
        <is>
          <t>SD/Contextual/Remarketing/Views</t>
        </is>
      </c>
      <c r="C7" s="35" t="inlineStr">
        <is>
          <t>Chettinad Paste/Remarketing/Views</t>
        </is>
      </c>
      <c r="D7" s="35" t="inlineStr">
        <is>
          <t>Video</t>
        </is>
      </c>
      <c r="E7" s="35" t="inlineStr">
        <is>
          <t>B0G1YXWM2P</t>
        </is>
      </c>
      <c r="F7" s="35" t="inlineStr">
        <is>
          <t>Viewed&gt;Advertised&gt;Product,
Viewed&gt;Similar Product,
Viewed&gt;Category
Lookback Period&gt;7Days</t>
        </is>
      </c>
    </row>
    <row r="8">
      <c r="A8" s="18" t="n"/>
      <c r="B8" s="35" t="n"/>
      <c r="C8" s="35" t="n"/>
      <c r="D8" s="35" t="n"/>
      <c r="E8" s="35" t="n"/>
      <c r="F8" s="35" t="n"/>
    </row>
    <row r="9" ht="57.6" customHeight="1">
      <c r="A9" s="18" t="inlineStr">
        <is>
          <t>Conversion</t>
        </is>
      </c>
      <c r="B9" s="22" t="inlineStr">
        <is>
          <t>SD/Contextual/Remarketing/Purchases</t>
        </is>
      </c>
      <c r="C9" s="35" t="inlineStr">
        <is>
          <t>Chettinad Paste/Remarketing/Purchase</t>
        </is>
      </c>
      <c r="D9" s="35" t="inlineStr">
        <is>
          <t>Video</t>
        </is>
      </c>
      <c r="E9" s="35" t="inlineStr">
        <is>
          <t>B0G1YXWM2P</t>
        </is>
      </c>
      <c r="F9" s="35" t="inlineStr">
        <is>
          <t>Purchased&gt;Advertised&gt;Product,
Purchased&gt;Similar Product,
Purchased&gt;Category
Lookback Period&gt;30Days</t>
        </is>
      </c>
    </row>
    <row r="10">
      <c r="A10" s="18" t="n"/>
      <c r="B10" s="35" t="n"/>
      <c r="C10" s="35" t="n"/>
      <c r="D10" s="18" t="n"/>
      <c r="E10" s="18" t="n"/>
      <c r="F10" s="18" t="n"/>
    </row>
    <row r="11" ht="87" customHeight="1">
      <c r="A11" s="18" t="inlineStr">
        <is>
          <t>Conversion</t>
        </is>
      </c>
      <c r="B11" s="22" t="inlineStr">
        <is>
          <t>SD/Contextual/Inmarketing</t>
        </is>
      </c>
      <c r="C11" s="35" t="inlineStr">
        <is>
          <t>Chettinad Paste/Inmarketing</t>
        </is>
      </c>
      <c r="D11" s="35" t="inlineStr">
        <is>
          <t>Video</t>
        </is>
      </c>
      <c r="E11" s="35" t="inlineStr">
        <is>
          <t>B0G1YXWM2P</t>
        </is>
      </c>
      <c r="F11" s="35" t="inlineStr">
        <is>
          <t>In-market: Spices &amp; Masalas
In-market: Cooking Pastes &amp; Sauces
In-market: Ready to Cook Foods</t>
        </is>
      </c>
    </row>
    <row r="12">
      <c r="A12" s="18" t="n"/>
      <c r="B12" s="35" t="n"/>
      <c r="C12" s="18" t="n"/>
      <c r="D12" s="18" t="n"/>
      <c r="E12" s="18" t="n"/>
      <c r="F12" s="18" t="n"/>
    </row>
    <row r="13" ht="57.6" customHeight="1">
      <c r="A13" s="18" t="inlineStr">
        <is>
          <t>Conversion</t>
        </is>
      </c>
      <c r="B13" s="22" t="inlineStr">
        <is>
          <t>SD/Chettinad Chicken/Contextual/IP</t>
        </is>
      </c>
      <c r="C13" s="35" t="inlineStr">
        <is>
          <t>Chettinad Paste/Contextual/IP-Brand Curry Paste</t>
        </is>
      </c>
      <c r="D13" s="35" t="inlineStr">
        <is>
          <t>Video</t>
        </is>
      </c>
      <c r="E13" s="35" t="inlineStr">
        <is>
          <t>B0G1YXWM2P</t>
        </is>
      </c>
      <c r="F13" s="35" t="inlineStr">
        <is>
          <t>B0G1YZ3K4T
B0G1Z87RV9
B0CL9D1PHY
B0G1YZ5K91</t>
        </is>
      </c>
    </row>
  </sheetData>
  <mergeCells count="1">
    <mergeCell ref="B1:L1"/>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3:N17"/>
  <sheetViews>
    <sheetView tabSelected="1" topLeftCell="E1" workbookViewId="0">
      <selection activeCell="O13" sqref="O13"/>
    </sheetView>
  </sheetViews>
  <sheetFormatPr baseColWidth="8" defaultRowHeight="14.4"/>
  <cols>
    <col width="9.21875" bestFit="1" customWidth="1" min="2" max="2"/>
    <col width="20.5546875" customWidth="1" min="3" max="3"/>
    <col width="12.77734375" bestFit="1" customWidth="1" min="8" max="8"/>
    <col width="11.5546875" bestFit="1" customWidth="1" min="9" max="9"/>
    <col width="11.5546875" bestFit="1" customWidth="1" min="11" max="11"/>
  </cols>
  <sheetData>
    <row r="3" ht="22.8" customHeight="1">
      <c r="A3" s="38" t="inlineStr">
        <is>
          <t>Media Plan</t>
        </is>
      </c>
      <c r="B3" s="61" t="n"/>
      <c r="C3" s="61" t="n"/>
      <c r="D3" s="61" t="n"/>
      <c r="E3" s="61" t="n"/>
      <c r="F3" s="61" t="n"/>
      <c r="G3" s="61" t="n"/>
      <c r="H3" s="61" t="n"/>
      <c r="I3" s="61" t="n"/>
      <c r="J3" s="61" t="n"/>
      <c r="K3" s="61" t="n"/>
      <c r="L3" s="61" t="n"/>
      <c r="M3" s="61" t="n"/>
      <c r="N3" s="62" t="n"/>
    </row>
    <row r="4" ht="27" customHeight="1">
      <c r="A4" s="39" t="inlineStr">
        <is>
          <t>Duration</t>
        </is>
      </c>
      <c r="B4" s="39" t="inlineStr">
        <is>
          <t>Spend</t>
        </is>
      </c>
      <c r="C4" s="39" t="inlineStr">
        <is>
          <t>Impressions</t>
        </is>
      </c>
      <c r="D4" s="39" t="inlineStr">
        <is>
          <t>CPM</t>
        </is>
      </c>
      <c r="E4" s="39" t="inlineStr">
        <is>
          <t>CTR</t>
        </is>
      </c>
      <c r="F4" s="39" t="inlineStr">
        <is>
          <t>Clicks</t>
        </is>
      </c>
      <c r="G4" s="39" t="inlineStr">
        <is>
          <t>CPC</t>
        </is>
      </c>
      <c r="H4" s="39" t="inlineStr">
        <is>
          <t>Sales</t>
        </is>
      </c>
      <c r="I4" s="39" t="inlineStr">
        <is>
          <t>Orders</t>
        </is>
      </c>
      <c r="J4" s="39" t="inlineStr">
        <is>
          <t>CVR</t>
        </is>
      </c>
      <c r="K4" s="39" t="inlineStr">
        <is>
          <t>CPA</t>
        </is>
      </c>
      <c r="L4" s="39" t="inlineStr">
        <is>
          <t>AOV</t>
        </is>
      </c>
      <c r="M4" s="39" t="inlineStr">
        <is>
          <t>ACOS</t>
        </is>
      </c>
      <c r="N4" s="39" t="inlineStr">
        <is>
          <t>Roas</t>
        </is>
      </c>
    </row>
    <row r="5">
      <c r="A5" s="40" t="inlineStr">
        <is>
          <t>Month 1</t>
        </is>
      </c>
      <c r="B5" s="63">
        <f>H5/N5</f>
        <v/>
      </c>
      <c r="C5" s="41">
        <f>F5/E5</f>
        <v/>
      </c>
      <c r="D5" s="56">
        <f>B5/C5*1000</f>
        <v/>
      </c>
      <c r="E5" s="64" t="n">
        <v>0.004</v>
      </c>
      <c r="F5" s="41">
        <f>B5/G5</f>
        <v/>
      </c>
      <c r="G5" s="65" t="n">
        <v>12</v>
      </c>
      <c r="H5" s="66" t="n">
        <v>300000</v>
      </c>
      <c r="I5" s="41">
        <f>H5/L5</f>
        <v/>
      </c>
      <c r="J5" s="53" t="n">
        <v>0.08</v>
      </c>
      <c r="K5" s="41">
        <f>B5/I5</f>
        <v/>
      </c>
      <c r="L5" s="67" t="n">
        <v>450</v>
      </c>
      <c r="M5" s="42">
        <f>B5/H5</f>
        <v/>
      </c>
      <c r="N5" s="43" t="n">
        <v>3</v>
      </c>
    </row>
    <row r="6">
      <c r="A6" s="40" t="inlineStr">
        <is>
          <t>Month 2</t>
        </is>
      </c>
      <c r="B6" s="63">
        <f>H6/N6</f>
        <v/>
      </c>
      <c r="C6" s="41">
        <f>F6/E6</f>
        <v/>
      </c>
      <c r="D6" s="56">
        <f>B6/C6*1000</f>
        <v/>
      </c>
      <c r="E6" s="64" t="n">
        <v>0.004</v>
      </c>
      <c r="F6" s="41">
        <f>B6/G6</f>
        <v/>
      </c>
      <c r="G6" s="65" t="n">
        <v>12</v>
      </c>
      <c r="H6" s="66" t="n">
        <v>300000</v>
      </c>
      <c r="I6" s="41">
        <f>H6/L6</f>
        <v/>
      </c>
      <c r="J6" s="53" t="n">
        <v>0.08</v>
      </c>
      <c r="K6" s="41">
        <f>B6/I6</f>
        <v/>
      </c>
      <c r="L6" s="67" t="n">
        <v>450</v>
      </c>
      <c r="M6" s="42">
        <f>B6/H6</f>
        <v/>
      </c>
      <c r="N6" s="43" t="n">
        <v>3</v>
      </c>
    </row>
    <row r="7">
      <c r="A7" s="40" t="inlineStr">
        <is>
          <t>Month 3</t>
        </is>
      </c>
      <c r="B7" s="63">
        <f>H7/N7</f>
        <v/>
      </c>
      <c r="C7" s="41">
        <f>F7/E7</f>
        <v/>
      </c>
      <c r="D7" s="56">
        <f>B7/C7*1000</f>
        <v/>
      </c>
      <c r="E7" s="64" t="n">
        <v>0.004</v>
      </c>
      <c r="F7" s="41">
        <f>B7/G7</f>
        <v/>
      </c>
      <c r="G7" s="65" t="n">
        <v>12</v>
      </c>
      <c r="H7" s="66" t="n">
        <v>600000</v>
      </c>
      <c r="I7" s="41">
        <f>H7/L7</f>
        <v/>
      </c>
      <c r="J7" s="53" t="n">
        <v>0.08</v>
      </c>
      <c r="K7" s="41">
        <f>B7/I7</f>
        <v/>
      </c>
      <c r="L7" s="67" t="n">
        <v>450</v>
      </c>
      <c r="M7" s="42">
        <f>B7/H7</f>
        <v/>
      </c>
      <c r="N7" s="43" t="n">
        <v>3</v>
      </c>
    </row>
    <row r="8">
      <c r="A8" s="40" t="inlineStr">
        <is>
          <t>Month 4</t>
        </is>
      </c>
      <c r="B8" s="63">
        <f>H8/N8</f>
        <v/>
      </c>
      <c r="C8" s="41">
        <f>F8/E8</f>
        <v/>
      </c>
      <c r="D8" s="56">
        <f>B8/C8*1000</f>
        <v/>
      </c>
      <c r="E8" s="64" t="n">
        <v>0.004</v>
      </c>
      <c r="F8" s="41">
        <f>B8/G8</f>
        <v/>
      </c>
      <c r="G8" s="65" t="n">
        <v>12</v>
      </c>
      <c r="H8" s="66" t="n">
        <v>600000</v>
      </c>
      <c r="I8" s="41">
        <f>H8/L8</f>
        <v/>
      </c>
      <c r="J8" s="53" t="n">
        <v>0.08</v>
      </c>
      <c r="K8" s="41">
        <f>B8/I8</f>
        <v/>
      </c>
      <c r="L8" s="67" t="n">
        <v>450</v>
      </c>
      <c r="M8" s="42">
        <f>B8/H8</f>
        <v/>
      </c>
      <c r="N8" s="43" t="n">
        <v>3</v>
      </c>
    </row>
    <row r="9">
      <c r="A9" s="40" t="inlineStr">
        <is>
          <t>Month 5</t>
        </is>
      </c>
      <c r="B9" s="63">
        <f>H9/N9</f>
        <v/>
      </c>
      <c r="C9" s="41">
        <f>F9/E9</f>
        <v/>
      </c>
      <c r="D9" s="56">
        <f>B9/C9*1000</f>
        <v/>
      </c>
      <c r="E9" s="64" t="n">
        <v>0.004</v>
      </c>
      <c r="F9" s="41">
        <f>B9/G9</f>
        <v/>
      </c>
      <c r="G9" s="65" t="n">
        <v>12</v>
      </c>
      <c r="H9" s="66" t="n">
        <v>1000000</v>
      </c>
      <c r="I9" s="41">
        <f>H9/L9</f>
        <v/>
      </c>
      <c r="J9" s="53" t="n">
        <v>0.08</v>
      </c>
      <c r="K9" s="41">
        <f>B9/I9</f>
        <v/>
      </c>
      <c r="L9" s="67" t="n">
        <v>450</v>
      </c>
      <c r="M9" s="42">
        <f>B9/H9</f>
        <v/>
      </c>
      <c r="N9" s="43" t="n">
        <v>3</v>
      </c>
    </row>
    <row r="10">
      <c r="A10" s="40" t="inlineStr">
        <is>
          <t>Month 6</t>
        </is>
      </c>
      <c r="B10" s="63">
        <f>H10/N10</f>
        <v/>
      </c>
      <c r="C10" s="41">
        <f>F10/E10</f>
        <v/>
      </c>
      <c r="D10" s="56">
        <f>B10/C10*1000</f>
        <v/>
      </c>
      <c r="E10" s="64" t="n">
        <v>0.004</v>
      </c>
      <c r="F10" s="41">
        <f>B10/G10</f>
        <v/>
      </c>
      <c r="G10" s="65" t="n">
        <v>12</v>
      </c>
      <c r="H10" s="66" t="n">
        <v>1000000</v>
      </c>
      <c r="I10" s="41">
        <f>H10/L10</f>
        <v/>
      </c>
      <c r="J10" s="53" t="n">
        <v>0.08</v>
      </c>
      <c r="K10" s="41">
        <f>B10/I10</f>
        <v/>
      </c>
      <c r="L10" s="67" t="n">
        <v>450</v>
      </c>
      <c r="M10" s="42">
        <f>B10/H10</f>
        <v/>
      </c>
      <c r="N10" s="43" t="n">
        <v>3</v>
      </c>
    </row>
    <row r="11">
      <c r="A11" s="1" t="n"/>
      <c r="B11" s="1" t="n"/>
      <c r="C11" s="1" t="n"/>
      <c r="D11" s="1" t="n"/>
      <c r="E11" s="1" t="n"/>
      <c r="F11" s="1" t="n"/>
      <c r="G11" s="1" t="n"/>
      <c r="H11" s="1" t="n"/>
      <c r="I11" s="1" t="n"/>
      <c r="J11" s="1" t="n"/>
      <c r="K11" s="1" t="n"/>
      <c r="L11" s="1" t="n"/>
      <c r="M11" s="1" t="n"/>
      <c r="N11" s="1" t="n"/>
    </row>
    <row r="12" ht="18" customHeight="1">
      <c r="A12" s="44" t="n"/>
      <c r="B12" s="44" t="n"/>
      <c r="C12" s="44" t="n"/>
      <c r="D12" s="44" t="n"/>
      <c r="E12" s="44" t="n"/>
      <c r="F12" s="44" t="n"/>
      <c r="G12" s="44" t="n"/>
      <c r="H12" s="1" t="n"/>
      <c r="I12" s="1" t="n"/>
      <c r="J12" s="1" t="n"/>
      <c r="K12" s="1" t="n"/>
      <c r="L12" s="1" t="n"/>
      <c r="M12" s="1" t="n"/>
      <c r="N12" s="1" t="n"/>
    </row>
    <row r="13" ht="31.2" customHeight="1">
      <c r="A13" s="45" t="n"/>
      <c r="B13" s="46" t="inlineStr">
        <is>
          <t>Assumed</t>
        </is>
      </c>
      <c r="C13" s="47" t="inlineStr">
        <is>
          <t>Reason</t>
        </is>
      </c>
      <c r="D13" s="61" t="n"/>
      <c r="E13" s="61" t="n"/>
      <c r="F13" s="61" t="n"/>
      <c r="G13" s="61" t="n"/>
      <c r="H13" s="61" t="n"/>
      <c r="I13" s="62" t="n"/>
      <c r="J13" s="48" t="n"/>
      <c r="K13" s="1" t="n"/>
      <c r="L13" s="1" t="n"/>
      <c r="M13" s="1" t="n"/>
      <c r="N13" s="1" t="n"/>
    </row>
    <row r="14">
      <c r="A14" s="1" t="n"/>
      <c r="B14" s="48" t="inlineStr">
        <is>
          <t>ACOS</t>
        </is>
      </c>
      <c r="C14" s="49" t="inlineStr">
        <is>
          <t>Assumed the ACOS as per benchmark which is highest at the awareness stage and goes down gradually down the funnel.</t>
        </is>
      </c>
      <c r="D14" s="61" t="n"/>
      <c r="E14" s="61" t="n"/>
      <c r="F14" s="61" t="n"/>
      <c r="G14" s="61" t="n"/>
      <c r="H14" s="61" t="n"/>
      <c r="I14" s="61" t="n"/>
      <c r="J14" s="62" t="n"/>
      <c r="K14" s="1" t="n"/>
      <c r="L14" s="1" t="n"/>
      <c r="M14" s="1" t="n"/>
      <c r="N14" s="1" t="n"/>
    </row>
    <row r="15">
      <c r="A15" s="1" t="n"/>
      <c r="B15" s="48" t="inlineStr">
        <is>
          <t>CTR</t>
        </is>
      </c>
      <c r="C15" s="49" t="inlineStr">
        <is>
          <t>Assumed the CTR as per benchmark which is lowest at the awareness stage and goes up gradually down the funnel.</t>
        </is>
      </c>
      <c r="D15" s="61" t="n"/>
      <c r="E15" s="61" t="n"/>
      <c r="F15" s="61" t="n"/>
      <c r="G15" s="61" t="n"/>
      <c r="H15" s="61" t="n"/>
      <c r="I15" s="61" t="n"/>
      <c r="J15" s="62" t="n"/>
      <c r="K15" s="1" t="n"/>
      <c r="L15" s="1" t="n"/>
      <c r="M15" s="1" t="n"/>
      <c r="N15" s="1" t="n"/>
    </row>
    <row r="16">
      <c r="A16" s="1" t="n"/>
      <c r="B16" s="48" t="inlineStr">
        <is>
          <t>CPC</t>
        </is>
      </c>
      <c r="C16" s="49" t="inlineStr">
        <is>
          <t>Assumed the CPC as per benchmark which is highest at the awareness stage and goes down gradually down the funnel.</t>
        </is>
      </c>
      <c r="D16" s="61" t="n"/>
      <c r="E16" s="61" t="n"/>
      <c r="F16" s="61" t="n"/>
      <c r="G16" s="61" t="n"/>
      <c r="H16" s="61" t="n"/>
      <c r="I16" s="61" t="n"/>
      <c r="J16" s="62" t="n"/>
      <c r="K16" s="1" t="n"/>
      <c r="L16" s="1" t="n"/>
      <c r="M16" s="1" t="n"/>
      <c r="N16" s="1" t="n"/>
    </row>
    <row r="17">
      <c r="A17" s="1" t="n"/>
      <c r="B17" s="48" t="inlineStr">
        <is>
          <t>AOV</t>
        </is>
      </c>
      <c r="C17" s="49" t="inlineStr">
        <is>
          <t>Assumed the AOV as 1000 that is by taking the average of the 3 plant products pricing .</t>
        </is>
      </c>
      <c r="D17" s="61" t="n"/>
      <c r="E17" s="61" t="n"/>
      <c r="F17" s="61" t="n"/>
      <c r="G17" s="61" t="n"/>
      <c r="H17" s="61" t="n"/>
      <c r="I17" s="61" t="n"/>
      <c r="J17" s="62" t="n"/>
      <c r="K17" s="1" t="n"/>
      <c r="L17" s="1" t="n"/>
      <c r="M17" s="1" t="n"/>
      <c r="N17" s="1" t="n"/>
    </row>
  </sheetData>
  <mergeCells count="6">
    <mergeCell ref="C17:J17"/>
    <mergeCell ref="A3:N3"/>
    <mergeCell ref="C13:I13"/>
    <mergeCell ref="C15:J15"/>
    <mergeCell ref="C16:J16"/>
    <mergeCell ref="C14:J14"/>
  </mergeCells>
  <pageMargins left="0.7" right="0.7" top="0.75" bottom="0.75" header="0.3" footer="0.3"/>
  <pageSetup orientation="portrait"/>
</worksheet>
</file>

<file path=xl/worksheets/sheet9.xml><?xml version="1.0" encoding="utf-8"?>
<worksheet xmlns="http://schemas.openxmlformats.org/spreadsheetml/2006/main">
  <sheetPr>
    <outlinePr summaryBelow="1" summaryRight="1"/>
    <pageSetUpPr/>
  </sheetPr>
  <dimension ref="A1:J5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6" customWidth="1" min="1" max="1"/>
    <col width="14" customWidth="1" min="2" max="2"/>
    <col width="11" customWidth="1" min="3" max="3"/>
    <col width="11" customWidth="1" min="4" max="4"/>
    <col width="11" customWidth="1" min="5" max="5"/>
    <col width="11" customWidth="1" min="6" max="6"/>
    <col width="11" customWidth="1" min="7" max="7"/>
    <col width="11" customWidth="1" min="8" max="8"/>
    <col width="13" customWidth="1" min="9" max="9"/>
    <col width="55" customWidth="1" min="10" max="10"/>
  </cols>
  <sheetData>
    <row r="1">
      <c r="A1" s="68" t="inlineStr">
        <is>
          <t>Budget Split – CURRYiT Chettinad (Month-wise, as per CURRYiT deck phases)</t>
        </is>
      </c>
    </row>
    <row r="3">
      <c r="A3" s="69" t="inlineStr">
        <is>
          <t>A. Campaign type split (%)</t>
        </is>
      </c>
      <c r="B3" s="70" t="n"/>
      <c r="C3" s="70" t="n"/>
      <c r="D3" s="70" t="n"/>
      <c r="E3" s="70" t="n"/>
      <c r="F3" s="70" t="n"/>
      <c r="G3" s="70" t="n"/>
      <c r="H3" s="70" t="n"/>
      <c r="I3" s="70" t="n"/>
      <c r="J3" s="71" t="n"/>
    </row>
    <row r="4">
      <c r="A4" s="72" t="inlineStr">
        <is>
          <t>Campaign type</t>
        </is>
      </c>
      <c r="B4" s="72" t="inlineStr">
        <is>
          <t>Month 1</t>
        </is>
      </c>
      <c r="C4" s="72" t="inlineStr">
        <is>
          <t>Month 2</t>
        </is>
      </c>
      <c r="D4" s="72" t="inlineStr">
        <is>
          <t>Month 3</t>
        </is>
      </c>
      <c r="E4" s="72" t="inlineStr">
        <is>
          <t>Month 4</t>
        </is>
      </c>
      <c r="F4" s="72" t="inlineStr">
        <is>
          <t>Month 5</t>
        </is>
      </c>
      <c r="G4" s="72" t="inlineStr">
        <is>
          <t>Month 6</t>
        </is>
      </c>
      <c r="H4" s="72" t="inlineStr">
        <is>
          <t>Phase logic</t>
        </is>
      </c>
    </row>
    <row r="5" ht="32" customHeight="1">
      <c r="A5" s="73" t="inlineStr">
        <is>
          <t>SP Keywords (Brand / Generic / Comp)</t>
        </is>
      </c>
      <c r="B5" s="74" t="n">
        <v>0.45</v>
      </c>
      <c r="C5" s="74" t="n">
        <v>0.45</v>
      </c>
      <c r="D5" s="74" t="n">
        <v>0.35</v>
      </c>
      <c r="E5" s="74" t="n">
        <v>0.35</v>
      </c>
      <c r="F5" s="74" t="n">
        <v>0.32</v>
      </c>
      <c r="G5" s="74" t="n">
        <v>0.32</v>
      </c>
      <c r="H5" s="75" t="inlineStr">
        <is>
          <t>Biggest bucket all 6 months. Tightest targeting, best ROAS (deck).</t>
        </is>
      </c>
      <c r="I5" s="70" t="n"/>
      <c r="J5" s="71" t="n"/>
    </row>
    <row r="6" ht="32" customHeight="1">
      <c r="A6" s="73" t="inlineStr">
        <is>
          <t>SP Auto</t>
        </is>
      </c>
      <c r="B6" s="74" t="n">
        <v>0.2</v>
      </c>
      <c r="C6" s="74" t="n">
        <v>0.2</v>
      </c>
      <c r="D6" s="74" t="n">
        <v>0.1</v>
      </c>
      <c r="E6" s="74" t="n">
        <v>0.1</v>
      </c>
      <c r="F6" s="74" t="n">
        <v>0.08</v>
      </c>
      <c r="G6" s="74" t="n">
        <v>0.08</v>
      </c>
      <c r="H6" s="75" t="inlineStr">
        <is>
          <t>High in M1–2 to find keywords; cut later as winners move to Exact.</t>
        </is>
      </c>
      <c r="I6" s="70" t="n"/>
      <c r="J6" s="71" t="n"/>
    </row>
    <row r="7" ht="32" customHeight="1">
      <c r="A7" s="73" t="inlineStr">
        <is>
          <t>SP Product Targeting (CT + IP)</t>
        </is>
      </c>
      <c r="B7" s="74" t="n">
        <v>0.2</v>
      </c>
      <c r="C7" s="74" t="n">
        <v>0.2</v>
      </c>
      <c r="D7" s="74" t="n">
        <v>0.15</v>
      </c>
      <c r="E7" s="74" t="n">
        <v>0.15</v>
      </c>
      <c r="F7" s="74" t="n">
        <v>0.12</v>
      </c>
      <c r="G7" s="74" t="n">
        <v>0.12</v>
      </c>
      <c r="H7" s="75" t="inlineStr">
        <is>
          <t>Show ad on competitor pages from day 1 (deck).</t>
        </is>
      </c>
      <c r="I7" s="70" t="n"/>
      <c r="J7" s="71" t="n"/>
    </row>
    <row r="8" ht="32" customHeight="1">
      <c r="A8" s="73" t="inlineStr">
        <is>
          <t>SB Video</t>
        </is>
      </c>
      <c r="B8" s="74" t="n">
        <v>0.15</v>
      </c>
      <c r="C8" s="74" t="n">
        <v>0.15</v>
      </c>
      <c r="D8" s="74" t="n">
        <v>0.15</v>
      </c>
      <c r="E8" s="74" t="n">
        <v>0.15</v>
      </c>
      <c r="F8" s="74" t="n">
        <v>0.15</v>
      </c>
      <c r="G8" s="74" t="n">
        <v>0.15</v>
      </c>
      <c r="H8" s="75" t="inlineStr">
        <is>
          <t>15-min cooking video = best format for food (deck). Flat all months.</t>
        </is>
      </c>
      <c r="I8" s="70" t="n"/>
      <c r="J8" s="71" t="n"/>
    </row>
    <row r="9" ht="32" customHeight="1">
      <c r="A9" s="73" t="inlineStr">
        <is>
          <t>SB Brand (combo) – new</t>
        </is>
      </c>
      <c r="B9" s="74" t="n">
        <v>0</v>
      </c>
      <c r="C9" s="74" t="n">
        <v>0</v>
      </c>
      <c r="D9" s="74" t="n">
        <v>0.1</v>
      </c>
      <c r="E9" s="74" t="n">
        <v>0.1</v>
      </c>
      <c r="F9" s="74" t="n">
        <v>0.15</v>
      </c>
      <c r="G9" s="74" t="n">
        <v>0.15</v>
      </c>
      <c r="H9" s="75" t="inlineStr">
        <is>
          <t>Deck rule: start in Month 3, sells the combo not the single pouch.</t>
        </is>
      </c>
      <c r="I9" s="70" t="n"/>
      <c r="J9" s="71" t="n"/>
    </row>
    <row r="10" ht="32" customHeight="1">
      <c r="A10" s="73" t="inlineStr">
        <is>
          <t>SD (Retargeting + Audiences)</t>
        </is>
      </c>
      <c r="B10" s="74" t="n">
        <v>0</v>
      </c>
      <c r="C10" s="74" t="n">
        <v>0</v>
      </c>
      <c r="D10" s="74" t="n">
        <v>0.15</v>
      </c>
      <c r="E10" s="74" t="n">
        <v>0.15</v>
      </c>
      <c r="F10" s="74" t="n">
        <v>0.18</v>
      </c>
      <c r="G10" s="74" t="n">
        <v>0.18</v>
      </c>
      <c r="H10" s="75" t="inlineStr">
        <is>
          <t>Deck puts "retarget people who viewed" in M3–4. Viewer pool from M1–2 ads is ready by then.</t>
        </is>
      </c>
      <c r="I10" s="70" t="n"/>
      <c r="J10" s="71" t="n"/>
    </row>
    <row r="11">
      <c r="A11" s="76" t="inlineStr">
        <is>
          <t>Total (must be 100%)</t>
        </is>
      </c>
      <c r="B11" s="77">
        <f>SUM(B5:B10)</f>
        <v/>
      </c>
      <c r="C11" s="77">
        <f>SUM(C5:C10)</f>
        <v/>
      </c>
      <c r="D11" s="77">
        <f>SUM(D5:D10)</f>
        <v/>
      </c>
      <c r="E11" s="77">
        <f>SUM(E5:E10)</f>
        <v/>
      </c>
      <c r="F11" s="77">
        <f>SUM(F5:F10)</f>
        <v/>
      </c>
      <c r="G11" s="77">
        <f>SUM(G5:G10)</f>
        <v/>
      </c>
    </row>
    <row r="14">
      <c r="A14" s="69" t="inlineStr">
        <is>
          <t>B. Campaign-wise budget (₹ per month) – total spend taken from your Media Planning sheet</t>
        </is>
      </c>
      <c r="B14" s="70" t="n"/>
      <c r="C14" s="70" t="n"/>
      <c r="D14" s="70" t="n"/>
      <c r="E14" s="70" t="n"/>
      <c r="F14" s="70" t="n"/>
      <c r="G14" s="70" t="n"/>
      <c r="H14" s="70" t="n"/>
      <c r="I14" s="70" t="n"/>
      <c r="J14" s="71" t="n"/>
    </row>
    <row r="15">
      <c r="A15" s="72" t="inlineStr">
        <is>
          <t>Campaign Name</t>
        </is>
      </c>
      <c r="B15" s="72" t="inlineStr">
        <is>
          <t>Share in type</t>
        </is>
      </c>
      <c r="C15" s="72" t="inlineStr">
        <is>
          <t>Month 1</t>
        </is>
      </c>
      <c r="D15" s="72" t="inlineStr">
        <is>
          <t>Month 2</t>
        </is>
      </c>
      <c r="E15" s="72" t="inlineStr">
        <is>
          <t>Month 3</t>
        </is>
      </c>
      <c r="F15" s="72" t="inlineStr">
        <is>
          <t>Month 4</t>
        </is>
      </c>
      <c r="G15" s="72" t="inlineStr">
        <is>
          <t>Month 5</t>
        </is>
      </c>
      <c r="H15" s="72" t="inlineStr">
        <is>
          <t>Month 6</t>
        </is>
      </c>
      <c r="I15" s="72" t="inlineStr">
        <is>
          <t>6-month total</t>
        </is>
      </c>
      <c r="J15" s="72" t="inlineStr">
        <is>
          <t>Why this share</t>
        </is>
      </c>
    </row>
    <row r="16">
      <c r="A16" s="76" t="inlineStr">
        <is>
          <t>Total monthly spend (Media Planning)</t>
        </is>
      </c>
      <c r="B16" s="78" t="inlineStr"/>
      <c r="C16" s="79">
        <f>'Media Planning'!B5</f>
        <v/>
      </c>
      <c r="D16" s="79">
        <f>'Media Planning'!B6</f>
        <v/>
      </c>
      <c r="E16" s="79">
        <f>'Media Planning'!B7</f>
        <v/>
      </c>
      <c r="F16" s="79">
        <f>'Media Planning'!B8</f>
        <v/>
      </c>
      <c r="G16" s="79">
        <f>'Media Planning'!B9</f>
        <v/>
      </c>
      <c r="H16" s="79">
        <f>'Media Planning'!B10</f>
        <v/>
      </c>
      <c r="I16" s="79">
        <f>SUM(C16:H16)</f>
        <v/>
      </c>
      <c r="J16" s="78" t="inlineStr"/>
    </row>
    <row r="17" ht="44" customHeight="1">
      <c r="A17" s="75" t="inlineStr">
        <is>
          <t>SP/ChettinadChicken/Brand KWs/Exact</t>
        </is>
      </c>
      <c r="B17" s="74" t="n">
        <v>0.08</v>
      </c>
      <c r="C17" s="80">
        <f>C$16*B$5*0.08</f>
        <v/>
      </c>
      <c r="D17" s="80">
        <f>D$16*C$5*0.08</f>
        <v/>
      </c>
      <c r="E17" s="80">
        <f>E$16*D$5*0.08</f>
        <v/>
      </c>
      <c r="F17" s="80">
        <f>F$16*E$5*0.08</f>
        <v/>
      </c>
      <c r="G17" s="80">
        <f>G$16*F$5*0.08</f>
        <v/>
      </c>
      <c r="H17" s="80">
        <f>H$16*G$5*0.08</f>
        <v/>
      </c>
      <c r="I17" s="81">
        <f>SUM(C17:H17)</f>
        <v/>
      </c>
      <c r="J17" s="75" t="inlineStr">
        <is>
          <t>Brand search: curry it 2,400 + curryit 1,300 = 3,700/mo. Cheap; protect own name.</t>
        </is>
      </c>
    </row>
    <row r="18" ht="30" customHeight="1">
      <c r="A18" s="75" t="inlineStr">
        <is>
          <t>SP/ChettinadChicken/Brand KWs/Phrase</t>
        </is>
      </c>
      <c r="B18" s="74" t="n">
        <v>0.05</v>
      </c>
      <c r="C18" s="80">
        <f>C$16*B$5*0.05</f>
        <v/>
      </c>
      <c r="D18" s="80">
        <f>D$16*C$5*0.05</f>
        <v/>
      </c>
      <c r="E18" s="80">
        <f>E$16*D$5*0.05</f>
        <v/>
      </c>
      <c r="F18" s="80">
        <f>F$16*E$5*0.05</f>
        <v/>
      </c>
      <c r="G18" s="80">
        <f>G$16*F$5*0.05</f>
        <v/>
      </c>
      <c r="H18" s="80">
        <f>H$16*G$5*0.05</f>
        <v/>
      </c>
      <c r="I18" s="81">
        <f>SUM(C18:H18)</f>
        <v/>
      </c>
      <c r="J18" s="75" t="inlineStr">
        <is>
          <t>Catches "curryit chettinad…" variations.</t>
        </is>
      </c>
    </row>
    <row r="19" ht="30" customHeight="1">
      <c r="A19" s="75" t="inlineStr">
        <is>
          <t>SP/ChettinadChicken/Brand KWs/Broad</t>
        </is>
      </c>
      <c r="B19" s="74" t="n">
        <v>0.02</v>
      </c>
      <c r="C19" s="80">
        <f>C$16*B$5*0.02</f>
        <v/>
      </c>
      <c r="D19" s="80">
        <f>D$16*C$5*0.02</f>
        <v/>
      </c>
      <c r="E19" s="80">
        <f>E$16*D$5*0.02</f>
        <v/>
      </c>
      <c r="F19" s="80">
        <f>F$16*E$5*0.02</f>
        <v/>
      </c>
      <c r="G19" s="80">
        <f>G$16*F$5*0.02</f>
        <v/>
      </c>
      <c r="H19" s="80">
        <f>H$16*G$5*0.02</f>
        <v/>
      </c>
      <c r="I19" s="81">
        <f>SUM(C19:H19)</f>
        <v/>
      </c>
      <c r="J19" s="75" t="inlineStr">
        <is>
          <t>Small – only to find new brand terms.</t>
        </is>
      </c>
    </row>
    <row r="20" ht="44" customHeight="1">
      <c r="A20" s="75" t="inlineStr">
        <is>
          <t>SP/ChettinadChicken/Generic KWs/Exact</t>
        </is>
      </c>
      <c r="B20" s="74" t="n">
        <v>0.3</v>
      </c>
      <c r="C20" s="80">
        <f>C$16*B$5*0.3</f>
        <v/>
      </c>
      <c r="D20" s="80">
        <f>D$16*C$5*0.3</f>
        <v/>
      </c>
      <c r="E20" s="80">
        <f>E$16*D$5*0.3</f>
        <v/>
      </c>
      <c r="F20" s="80">
        <f>F$16*E$5*0.3</f>
        <v/>
      </c>
      <c r="G20" s="80">
        <f>G$16*F$5*0.3</f>
        <v/>
      </c>
      <c r="H20" s="80">
        <f>H$16*G$5*0.3</f>
        <v/>
      </c>
      <c r="I20" s="81">
        <f>SUM(C20:H20)</f>
        <v/>
      </c>
      <c r="J20" s="75" t="inlineStr">
        <is>
          <t>Main money bucket: Chettinad 1,980 + chicken curry masala 1,490 + paste/RTC 720 = 4,190 searches/mo. Deck: product keywords = Priority 1.</t>
        </is>
      </c>
    </row>
    <row r="21" ht="30" customHeight="1">
      <c r="A21" s="75" t="inlineStr">
        <is>
          <t>SP/ChettinadChicken/Generic KWs/Phrase</t>
        </is>
      </c>
      <c r="B21" s="74" t="n">
        <v>0.2</v>
      </c>
      <c r="C21" s="80">
        <f>C$16*B$5*0.2</f>
        <v/>
      </c>
      <c r="D21" s="80">
        <f>D$16*C$5*0.2</f>
        <v/>
      </c>
      <c r="E21" s="80">
        <f>E$16*D$5*0.2</f>
        <v/>
      </c>
      <c r="F21" s="80">
        <f>F$16*E$5*0.2</f>
        <v/>
      </c>
      <c r="G21" s="80">
        <f>G$16*F$5*0.2</f>
        <v/>
      </c>
      <c r="H21" s="80">
        <f>H$16*G$5*0.2</f>
        <v/>
      </c>
      <c r="I21" s="81">
        <f>SUM(C21:H21)</f>
        <v/>
      </c>
      <c r="J21" s="75" t="inlineStr">
        <is>
          <t>Same keywords, more search variations.</t>
        </is>
      </c>
    </row>
    <row r="22" ht="30" customHeight="1">
      <c r="A22" s="75" t="inlineStr">
        <is>
          <t>SP/ChettinadChicken/Generic KWs/Broad</t>
        </is>
      </c>
      <c r="B22" s="74" t="n">
        <v>0.1</v>
      </c>
      <c r="C22" s="80">
        <f>C$16*B$5*0.1</f>
        <v/>
      </c>
      <c r="D22" s="80">
        <f>D$16*C$5*0.1</f>
        <v/>
      </c>
      <c r="E22" s="80">
        <f>E$16*D$5*0.1</f>
        <v/>
      </c>
      <c r="F22" s="80">
        <f>F$16*E$5*0.1</f>
        <v/>
      </c>
      <c r="G22" s="80">
        <f>G$16*F$5*0.1</f>
        <v/>
      </c>
      <c r="H22" s="80">
        <f>H$16*G$5*0.1</f>
        <v/>
      </c>
      <c r="I22" s="81">
        <f>SUM(C22:H22)</f>
        <v/>
      </c>
      <c r="J22" s="75" t="inlineStr">
        <is>
          <t>Discovery only; negated vs Phrase.</t>
        </is>
      </c>
    </row>
    <row r="23" ht="44" customHeight="1">
      <c r="A23" s="75" t="inlineStr">
        <is>
          <t>SP/ChettinadChicken/Comp KWs/Exact</t>
        </is>
      </c>
      <c r="B23" s="74" t="n">
        <v>0.12</v>
      </c>
      <c r="C23" s="80">
        <f>C$16*B$5*0.12</f>
        <v/>
      </c>
      <c r="D23" s="80">
        <f>D$16*C$5*0.12</f>
        <v/>
      </c>
      <c r="E23" s="80">
        <f>E$16*D$5*0.12</f>
        <v/>
      </c>
      <c r="F23" s="80">
        <f>F$16*E$5*0.12</f>
        <v/>
      </c>
      <c r="G23" s="80">
        <f>G$16*F$5*0.12</f>
        <v/>
      </c>
      <c r="H23" s="80">
        <f>H$16*G$5*0.12</f>
        <v/>
      </c>
      <c r="I23" s="81">
        <f>SUM(C23:H23)</f>
        <v/>
      </c>
      <c r="J23" s="75" t="inlineStr">
        <is>
          <t>Comp keyword volume is small (Chettinad comp 230 + chicken masala brands 520 + paste brands 70 = 820/mo), and their buyers convert lower.</t>
        </is>
      </c>
    </row>
    <row r="24" ht="30" customHeight="1">
      <c r="A24" s="75" t="inlineStr">
        <is>
          <t>SP/ChettinadChicken/Comp KWs/Phrase</t>
        </is>
      </c>
      <c r="B24" s="74" t="n">
        <v>0.08</v>
      </c>
      <c r="C24" s="80">
        <f>C$16*B$5*0.08</f>
        <v/>
      </c>
      <c r="D24" s="80">
        <f>D$16*C$5*0.08</f>
        <v/>
      </c>
      <c r="E24" s="80">
        <f>E$16*D$5*0.08</f>
        <v/>
      </c>
      <c r="F24" s="80">
        <f>F$16*E$5*0.08</f>
        <v/>
      </c>
      <c r="G24" s="80">
        <f>G$16*F$5*0.08</f>
        <v/>
      </c>
      <c r="H24" s="80">
        <f>H$16*G$5*0.08</f>
        <v/>
      </c>
      <c r="I24" s="81">
        <f>SUM(C24:H24)</f>
        <v/>
      </c>
      <c r="J24" s="75" t="inlineStr">
        <is>
          <t>Same as above.</t>
        </is>
      </c>
    </row>
    <row r="25" ht="30" customHeight="1">
      <c r="A25" s="75" t="inlineStr">
        <is>
          <t>SP/ChettinadChicken/Comp KWs/Broad</t>
        </is>
      </c>
      <c r="B25" s="74" t="n">
        <v>0.05</v>
      </c>
      <c r="C25" s="80">
        <f>C$16*B$5*0.05</f>
        <v/>
      </c>
      <c r="D25" s="80">
        <f>D$16*C$5*0.05</f>
        <v/>
      </c>
      <c r="E25" s="80">
        <f>E$16*D$5*0.05</f>
        <v/>
      </c>
      <c r="F25" s="80">
        <f>F$16*E$5*0.05</f>
        <v/>
      </c>
      <c r="G25" s="80">
        <f>G$16*F$5*0.05</f>
        <v/>
      </c>
      <c r="H25" s="80">
        <f>H$16*G$5*0.05</f>
        <v/>
      </c>
      <c r="I25" s="81">
        <f>SUM(C25:H25)</f>
        <v/>
      </c>
      <c r="J25" s="75" t="inlineStr">
        <is>
          <t>Small test.</t>
        </is>
      </c>
    </row>
    <row r="26" ht="30" customHeight="1">
      <c r="A26" s="75" t="inlineStr">
        <is>
          <t>SP/ChettinadChicken/Auto</t>
        </is>
      </c>
      <c r="B26" s="74" t="n">
        <v>1</v>
      </c>
      <c r="C26" s="80">
        <f>C$16*B$6*1.0</f>
        <v/>
      </c>
      <c r="D26" s="80">
        <f>D$16*C$6*1.0</f>
        <v/>
      </c>
      <c r="E26" s="80">
        <f>E$16*D$6*1.0</f>
        <v/>
      </c>
      <c r="F26" s="80">
        <f>F$16*E$6*1.0</f>
        <v/>
      </c>
      <c r="G26" s="80">
        <f>G$16*F$6*1.0</f>
        <v/>
      </c>
      <c r="H26" s="80">
        <f>H$16*G$6*1.0</f>
        <v/>
      </c>
      <c r="I26" s="81">
        <f>SUM(C26:H26)</f>
        <v/>
      </c>
      <c r="J26" s="75" t="inlineStr">
        <is>
          <t>Only Auto campaign. Check search term report weekly (deck).</t>
        </is>
      </c>
    </row>
    <row r="27" ht="44" customHeight="1">
      <c r="A27" s="75" t="inlineStr">
        <is>
          <t>SP/IP/CompTar (competitor ASINs)</t>
        </is>
      </c>
      <c r="B27" s="74" t="n">
        <v>0.55</v>
      </c>
      <c r="C27" s="80">
        <f>C$16*B$7*0.55</f>
        <v/>
      </c>
      <c r="D27" s="80">
        <f>D$16*C$7*0.55</f>
        <v/>
      </c>
      <c r="E27" s="80">
        <f>E$16*D$7*0.55</f>
        <v/>
      </c>
      <c r="F27" s="80">
        <f>F$16*E$7*0.55</f>
        <v/>
      </c>
      <c r="G27" s="80">
        <f>G$16*F$7*0.55</f>
        <v/>
      </c>
      <c r="H27" s="80">
        <f>H$16*G$7*0.55</f>
        <v/>
      </c>
      <c r="I27" s="81">
        <f>SUM(C27:H27)</f>
        <v/>
      </c>
      <c r="J27" s="75" t="inlineStr">
        <is>
          <t>Show CURRYiT on competitor product pages (deck). Pitch: paste, ghee, no preservatives.</t>
        </is>
      </c>
    </row>
    <row r="28" ht="30" customHeight="1">
      <c r="A28" s="75" t="inlineStr">
        <is>
          <t>SP/CT (category)</t>
        </is>
      </c>
      <c r="B28" s="74" t="n">
        <v>0.3</v>
      </c>
      <c r="C28" s="80">
        <f>C$16*B$7*0.3</f>
        <v/>
      </c>
      <c r="D28" s="80">
        <f>D$16*C$7*0.3</f>
        <v/>
      </c>
      <c r="E28" s="80">
        <f>E$16*D$7*0.3</f>
        <v/>
      </c>
      <c r="F28" s="80">
        <f>F$16*E$7*0.3</f>
        <v/>
      </c>
      <c r="G28" s="80">
        <f>G$16*F$7*0.3</f>
        <v/>
      </c>
      <c r="H28" s="80">
        <f>H$16*G$7*0.3</f>
        <v/>
      </c>
      <c r="I28" s="81">
        <f>SUM(C28:H28)</f>
        <v/>
      </c>
      <c r="J28" s="75" t="inlineStr">
        <is>
          <t>Wider category reach at lower bid.</t>
        </is>
      </c>
    </row>
    <row r="29" ht="30" customHeight="1">
      <c r="A29" s="75" t="inlineStr">
        <is>
          <t>SP/IP/BrandTar (own ASINs)</t>
        </is>
      </c>
      <c r="B29" s="74" t="n">
        <v>0.15</v>
      </c>
      <c r="C29" s="80">
        <f>C$16*B$7*0.15</f>
        <v/>
      </c>
      <c r="D29" s="80">
        <f>D$16*C$7*0.15</f>
        <v/>
      </c>
      <c r="E29" s="80">
        <f>E$16*D$7*0.15</f>
        <v/>
      </c>
      <c r="F29" s="80">
        <f>F$16*E$7*0.15</f>
        <v/>
      </c>
      <c r="G29" s="80">
        <f>G$16*F$7*0.15</f>
        <v/>
      </c>
      <c r="H29" s="80">
        <f>H$16*G$7*0.15</f>
        <v/>
      </c>
      <c r="I29" s="81">
        <f>SUM(C29:H29)</f>
        <v/>
      </c>
      <c r="J29" s="75" t="inlineStr">
        <is>
          <t>Defend own pages, cross-sell other CURRYiT pastes.</t>
        </is>
      </c>
    </row>
    <row r="30" ht="30" customHeight="1">
      <c r="A30" s="75" t="inlineStr">
        <is>
          <t>SB/Video/Brand kws-Exact</t>
        </is>
      </c>
      <c r="B30" s="74" t="n">
        <v>0.15</v>
      </c>
      <c r="C30" s="80">
        <f>C$16*B$8*0.15</f>
        <v/>
      </c>
      <c r="D30" s="80">
        <f>D$16*C$8*0.15</f>
        <v/>
      </c>
      <c r="E30" s="80">
        <f>E$16*D$8*0.15</f>
        <v/>
      </c>
      <c r="F30" s="80">
        <f>F$16*E$8*0.15</f>
        <v/>
      </c>
      <c r="G30" s="80">
        <f>G$16*F$8*0.15</f>
        <v/>
      </c>
      <c r="H30" s="80">
        <f>H$16*G$8*0.15</f>
        <v/>
      </c>
      <c r="I30" s="81">
        <f>SUM(C30:H30)</f>
        <v/>
      </c>
      <c r="J30" s="75" t="inlineStr">
        <is>
          <t>Brand video for people already searching CURRYiT.</t>
        </is>
      </c>
    </row>
    <row r="31" ht="30" customHeight="1">
      <c r="A31" s="75" t="inlineStr">
        <is>
          <t>SB/Video/Brand kws-Phrase</t>
        </is>
      </c>
      <c r="B31" s="74" t="n">
        <v>0.1</v>
      </c>
      <c r="C31" s="80">
        <f>C$16*B$8*0.1</f>
        <v/>
      </c>
      <c r="D31" s="80">
        <f>D$16*C$8*0.1</f>
        <v/>
      </c>
      <c r="E31" s="80">
        <f>E$16*D$8*0.1</f>
        <v/>
      </c>
      <c r="F31" s="80">
        <f>F$16*E$8*0.1</f>
        <v/>
      </c>
      <c r="G31" s="80">
        <f>G$16*F$8*0.1</f>
        <v/>
      </c>
      <c r="H31" s="80">
        <f>H$16*G$8*0.1</f>
        <v/>
      </c>
      <c r="I31" s="81">
        <f>SUM(C31:H31)</f>
        <v/>
      </c>
      <c r="J31" s="75" t="inlineStr"/>
    </row>
    <row r="32" ht="44" customHeight="1">
      <c r="A32" s="75" t="inlineStr">
        <is>
          <t>SB/Video/Generic Chettinad kws-Exact</t>
        </is>
      </c>
      <c r="B32" s="74" t="n">
        <v>0.3</v>
      </c>
      <c r="C32" s="80">
        <f>C$16*B$8*0.3</f>
        <v/>
      </c>
      <c r="D32" s="80">
        <f>D$16*C$8*0.3</f>
        <v/>
      </c>
      <c r="E32" s="80">
        <f>E$16*D$8*0.3</f>
        <v/>
      </c>
      <c r="F32" s="80">
        <f>F$16*E$8*0.3</f>
        <v/>
      </c>
      <c r="G32" s="80">
        <f>G$16*F$8*0.3</f>
        <v/>
      </c>
      <c r="H32" s="80">
        <f>H$16*G$8*0.3</f>
        <v/>
      </c>
      <c r="I32" s="81">
        <f>SUM(C32:H32)</f>
        <v/>
      </c>
      <c r="J32" s="75" t="inlineStr">
        <is>
          <t>Most new customers come from generic searches; video shows "15 mins, 3 steps".</t>
        </is>
      </c>
    </row>
    <row r="33" ht="30" customHeight="1">
      <c r="A33" s="75" t="inlineStr">
        <is>
          <t>SB/Video/Generic Chettinad kws-Phrase</t>
        </is>
      </c>
      <c r="B33" s="74" t="n">
        <v>0.2</v>
      </c>
      <c r="C33" s="80">
        <f>C$16*B$8*0.2</f>
        <v/>
      </c>
      <c r="D33" s="80">
        <f>D$16*C$8*0.2</f>
        <v/>
      </c>
      <c r="E33" s="80">
        <f>E$16*D$8*0.2</f>
        <v/>
      </c>
      <c r="F33" s="80">
        <f>F$16*E$8*0.2</f>
        <v/>
      </c>
      <c r="G33" s="80">
        <f>G$16*F$8*0.2</f>
        <v/>
      </c>
      <c r="H33" s="80">
        <f>H$16*G$8*0.2</f>
        <v/>
      </c>
      <c r="I33" s="81">
        <f>SUM(C33:H33)</f>
        <v/>
      </c>
      <c r="J33" s="75" t="inlineStr"/>
    </row>
    <row r="34" ht="30" customHeight="1">
      <c r="A34" s="75" t="inlineStr">
        <is>
          <t>SB/Video/Comp kws-Exact</t>
        </is>
      </c>
      <c r="B34" s="74" t="n">
        <v>0.15</v>
      </c>
      <c r="C34" s="80">
        <f>C$16*B$8*0.15</f>
        <v/>
      </c>
      <c r="D34" s="80">
        <f>D$16*C$8*0.15</f>
        <v/>
      </c>
      <c r="E34" s="80">
        <f>E$16*D$8*0.15</f>
        <v/>
      </c>
      <c r="F34" s="80">
        <f>F$16*E$8*0.15</f>
        <v/>
      </c>
      <c r="G34" s="80">
        <f>G$16*F$8*0.15</f>
        <v/>
      </c>
      <c r="H34" s="80">
        <f>H$16*G$8*0.15</f>
        <v/>
      </c>
      <c r="I34" s="81">
        <f>SUM(C34:H34)</f>
        <v/>
      </c>
      <c r="J34" s="75" t="inlineStr">
        <is>
          <t>Steal comp searches with the video.</t>
        </is>
      </c>
    </row>
    <row r="35" ht="30" customHeight="1">
      <c r="A35" s="75" t="inlineStr">
        <is>
          <t>SB/Video/Comp kws-Phrase</t>
        </is>
      </c>
      <c r="B35" s="74" t="n">
        <v>0.1</v>
      </c>
      <c r="C35" s="80">
        <f>C$16*B$8*0.1</f>
        <v/>
      </c>
      <c r="D35" s="80">
        <f>D$16*C$8*0.1</f>
        <v/>
      </c>
      <c r="E35" s="80">
        <f>E$16*D$8*0.1</f>
        <v/>
      </c>
      <c r="F35" s="80">
        <f>F$16*E$8*0.1</f>
        <v/>
      </c>
      <c r="G35" s="80">
        <f>G$16*F$8*0.1</f>
        <v/>
      </c>
      <c r="H35" s="80">
        <f>H$16*G$8*0.1</f>
        <v/>
      </c>
      <c r="I35" s="81">
        <f>SUM(C35:H35)</f>
        <v/>
      </c>
      <c r="J35" s="75" t="inlineStr"/>
    </row>
    <row r="36" ht="44" customHeight="1">
      <c r="A36" s="75" t="inlineStr">
        <is>
          <t>SB Brand – Product Collection (Combo-3) – ADD from M3</t>
        </is>
      </c>
      <c r="B36" s="74" t="n">
        <v>1</v>
      </c>
      <c r="C36" s="80">
        <f>C$16*B$9*1.0</f>
        <v/>
      </c>
      <c r="D36" s="80">
        <f>D$16*C$9*1.0</f>
        <v/>
      </c>
      <c r="E36" s="80">
        <f>E$16*D$9*1.0</f>
        <v/>
      </c>
      <c r="F36" s="80">
        <f>F$16*E$9*1.0</f>
        <v/>
      </c>
      <c r="G36" s="80">
        <f>G$16*F$9*1.0</f>
        <v/>
      </c>
      <c r="H36" s="80">
        <f>H$16*G$9*1.0</f>
        <v/>
      </c>
      <c r="I36" s="81">
        <f>SUM(C36:H36)</f>
        <v/>
      </c>
      <c r="J36" s="75" t="inlineStr">
        <is>
          <t>Not in your SB sheet yet. Deck: SB Brand starts M3 and sells the combo (AOV ₹450).</t>
        </is>
      </c>
    </row>
    <row r="37" ht="44" customHeight="1">
      <c r="A37" s="75" t="inlineStr">
        <is>
          <t>SD/Remarketing/Views</t>
        </is>
      </c>
      <c r="B37" s="74" t="inlineStr">
        <is>
          <t>40% (M3–4) / 35% (M5–6)</t>
        </is>
      </c>
      <c r="C37" s="80">
        <f>C$16*B$10*0.4</f>
        <v/>
      </c>
      <c r="D37" s="80">
        <f>D$16*C$10*0.4</f>
        <v/>
      </c>
      <c r="E37" s="80">
        <f>E$16*D$10*0.4</f>
        <v/>
      </c>
      <c r="F37" s="80">
        <f>F$16*E$10*0.4</f>
        <v/>
      </c>
      <c r="G37" s="80">
        <f>G$16*F$10*0.35</f>
        <v/>
      </c>
      <c r="H37" s="80">
        <f>H$16*G$10*0.35</f>
        <v/>
      </c>
      <c r="I37" s="81">
        <f>SUM(C37:H37)</f>
        <v/>
      </c>
      <c r="J37" s="75" t="inlineStr">
        <is>
          <t>Warmest audience: saw the pack, did not buy. Deck: "retarget people who viewed".</t>
        </is>
      </c>
    </row>
    <row r="38" ht="44" customHeight="1">
      <c r="A38" s="75" t="inlineStr">
        <is>
          <t>SD/Remarketing/Purchases</t>
        </is>
      </c>
      <c r="B38" s="74" t="inlineStr">
        <is>
          <t>10% (M3–4) / 20% (M5–6)</t>
        </is>
      </c>
      <c r="C38" s="80">
        <f>C$16*B$10*0.1</f>
        <v/>
      </c>
      <c r="D38" s="80">
        <f>D$16*C$10*0.1</f>
        <v/>
      </c>
      <c r="E38" s="80">
        <f>E$16*D$10*0.1</f>
        <v/>
      </c>
      <c r="F38" s="80">
        <f>F$16*E$10*0.1</f>
        <v/>
      </c>
      <c r="G38" s="80">
        <f>G$16*F$10*0.2</f>
        <v/>
      </c>
      <c r="H38" s="80">
        <f>H$16*G$10*0.2</f>
        <v/>
      </c>
      <c r="I38" s="81">
        <f>SUM(C38:H38)</f>
        <v/>
      </c>
      <c r="J38" s="75" t="inlineStr">
        <is>
          <t>Grows in M5–6: deck says "repeat buyers add up". One pouch = one meal, so rebuy is natural.</t>
        </is>
      </c>
    </row>
    <row r="39" ht="30" customHeight="1">
      <c r="A39" s="75" t="inlineStr">
        <is>
          <t>SD/Contextual/IP (comp ASINs)</t>
        </is>
      </c>
      <c r="B39" s="74" t="inlineStr">
        <is>
          <t>20% (M3–4) / 15% (M5–6)</t>
        </is>
      </c>
      <c r="C39" s="80">
        <f>C$16*B$10*0.2</f>
        <v/>
      </c>
      <c r="D39" s="80">
        <f>D$16*C$10*0.2</f>
        <v/>
      </c>
      <c r="E39" s="80">
        <f>E$16*D$10*0.2</f>
        <v/>
      </c>
      <c r="F39" s="80">
        <f>F$16*E$10*0.2</f>
        <v/>
      </c>
      <c r="G39" s="80">
        <f>G$16*F$10*0.15</f>
        <v/>
      </c>
      <c r="H39" s="80">
        <f>H$16*G$10*0.15</f>
        <v/>
      </c>
      <c r="I39" s="81">
        <f>SUM(C39:H39)</f>
        <v/>
      </c>
      <c r="J39" s="75" t="inlineStr">
        <is>
          <t>Same comp ASINs as SP IP, cheaper display placement.</t>
        </is>
      </c>
    </row>
    <row r="40" ht="30" customHeight="1">
      <c r="A40" s="75" t="inlineStr">
        <is>
          <t>SD/Contextual/CT</t>
        </is>
      </c>
      <c r="B40" s="74" t="inlineStr">
        <is>
          <t>15% (M3–4) / 10% (M5–6)</t>
        </is>
      </c>
      <c r="C40" s="80">
        <f>C$16*B$10*0.15</f>
        <v/>
      </c>
      <c r="D40" s="80">
        <f>D$16*C$10*0.15</f>
        <v/>
      </c>
      <c r="E40" s="80">
        <f>E$16*D$10*0.15</f>
        <v/>
      </c>
      <c r="F40" s="80">
        <f>F$16*E$10*0.15</f>
        <v/>
      </c>
      <c r="G40" s="80">
        <f>G$16*F$10*0.1</f>
        <v/>
      </c>
      <c r="H40" s="80">
        <f>H$16*G$10*0.1</f>
        <v/>
      </c>
      <c r="I40" s="81">
        <f>SUM(C40:H40)</f>
        <v/>
      </c>
      <c r="J40" s="75" t="inlineStr">
        <is>
          <t>Category pages; cut in M5–6 (tighten, do not expand).</t>
        </is>
      </c>
    </row>
    <row r="41" ht="30" customHeight="1">
      <c r="A41" s="75" t="inlineStr">
        <is>
          <t>SD/Inmarketing</t>
        </is>
      </c>
      <c r="B41" s="74" t="inlineStr">
        <is>
          <t>10% (M3–4) / 15% (M5–6)</t>
        </is>
      </c>
      <c r="C41" s="80">
        <f>C$16*B$10*0.1</f>
        <v/>
      </c>
      <c r="D41" s="80">
        <f>D$16*C$10*0.1</f>
        <v/>
      </c>
      <c r="E41" s="80">
        <f>E$16*D$10*0.1</f>
        <v/>
      </c>
      <c r="F41" s="80">
        <f>F$16*E$10*0.1</f>
        <v/>
      </c>
      <c r="G41" s="80">
        <f>G$16*F$10*0.15</f>
        <v/>
      </c>
      <c r="H41" s="80">
        <f>H$16*G$10*0.15</f>
        <v/>
      </c>
      <c r="I41" s="81">
        <f>SUM(C41:H41)</f>
        <v/>
      </c>
      <c r="J41" s="75" t="inlineStr">
        <is>
          <t>New shoppers already buying spices/pastes.</t>
        </is>
      </c>
    </row>
    <row r="42" ht="30" customHeight="1">
      <c r="A42" s="75" t="inlineStr">
        <is>
          <t>SD/Contextual/IP (own ASINs)</t>
        </is>
      </c>
      <c r="B42" s="74" t="inlineStr">
        <is>
          <t>5% (M3–4) / 5% (M5–6)</t>
        </is>
      </c>
      <c r="C42" s="80">
        <f>C$16*B$10*0.05</f>
        <v/>
      </c>
      <c r="D42" s="80">
        <f>D$16*C$10*0.05</f>
        <v/>
      </c>
      <c r="E42" s="80">
        <f>E$16*D$10*0.05</f>
        <v/>
      </c>
      <c r="F42" s="80">
        <f>F$16*E$10*0.05</f>
        <v/>
      </c>
      <c r="G42" s="80">
        <f>G$16*F$10*0.05</f>
        <v/>
      </c>
      <c r="H42" s="80">
        <f>H$16*G$10*0.05</f>
        <v/>
      </c>
      <c r="I42" s="81">
        <f>SUM(C42:H42)</f>
        <v/>
      </c>
      <c r="J42" s="75" t="inlineStr">
        <is>
          <t>Small defence on own pages.</t>
        </is>
      </c>
    </row>
    <row r="43">
      <c r="A43" s="76" t="inlineStr">
        <is>
          <t>Total (must match monthly spend)</t>
        </is>
      </c>
      <c r="B43" s="78" t="inlineStr"/>
      <c r="C43" s="79">
        <f>SUM(C17:C42)</f>
        <v/>
      </c>
      <c r="D43" s="79">
        <f>SUM(D17:D42)</f>
        <v/>
      </c>
      <c r="E43" s="79">
        <f>SUM(E17:E42)</f>
        <v/>
      </c>
      <c r="F43" s="79">
        <f>SUM(F17:F42)</f>
        <v/>
      </c>
      <c r="G43" s="79">
        <f>SUM(G17:G42)</f>
        <v/>
      </c>
      <c r="H43" s="79">
        <f>SUM(H17:H42)</f>
        <v/>
      </c>
      <c r="I43" s="79">
        <f>SUM(I17:I42)</f>
        <v/>
      </c>
      <c r="J43" s="78" t="inlineStr"/>
    </row>
    <row r="46">
      <c r="A46" s="69" t="inlineStr">
        <is>
          <t>C. Why this budget – reasons</t>
        </is>
      </c>
      <c r="B46" s="70" t="n"/>
      <c r="C46" s="70" t="n"/>
      <c r="D46" s="70" t="n"/>
      <c r="E46" s="70" t="n"/>
      <c r="F46" s="70" t="n"/>
      <c r="G46" s="70" t="n"/>
      <c r="H46" s="70" t="n"/>
      <c r="I46" s="70" t="n"/>
      <c r="J46" s="71" t="n"/>
    </row>
    <row r="47" ht="48" customHeight="1">
      <c r="A47" s="73" t="inlineStr">
        <is>
          <t>Total budget</t>
        </is>
      </c>
      <c r="B47" s="75" t="inlineStr">
        <is>
          <t>Taken as-is from your Media Planning sheet: ₹1L (M1), ₹1L (M2), ₹2L (M3), ₹2L (M4), ₹3.33L (M5), ₹3.33L (M6) = ₹12.67L. It comes from Sales ÷ ROAS 3 (deck maths: ₹10L ÷ 3 = ₹3,33,300).</t>
        </is>
      </c>
      <c r="C47" s="70" t="n"/>
      <c r="D47" s="70" t="n"/>
      <c r="E47" s="70" t="n"/>
      <c r="F47" s="70" t="n"/>
      <c r="G47" s="70" t="n"/>
      <c r="H47" s="70" t="n"/>
      <c r="I47" s="70" t="n"/>
      <c r="J47" s="71" t="n"/>
    </row>
    <row r="48" ht="48" customHeight="1">
      <c r="A48" s="73" t="inlineStr">
        <is>
          <t>Month 1–2: Get started</t>
        </is>
      </c>
      <c r="B48" s="75" t="inlineStr">
        <is>
          <t>Deck says: fix listing, get early reviews, find best SKU. So 85% on SP (keywords + Auto + PT) to learn which keywords convert. Auto at 20% to find new keywords. No SB Brand and no SD yet – nothing to retarget and no combo push yet.</t>
        </is>
      </c>
      <c r="C48" s="70" t="n"/>
      <c r="D48" s="70" t="n"/>
      <c r="E48" s="70" t="n"/>
      <c r="F48" s="70" t="n"/>
      <c r="G48" s="70" t="n"/>
      <c r="H48" s="70" t="n"/>
      <c r="I48" s="70" t="n"/>
      <c r="J48" s="71" t="n"/>
    </row>
    <row r="49" ht="48" customHeight="1">
      <c r="A49" s="73" t="inlineStr">
        <is>
          <t>Month 3–4: Grow</t>
        </is>
      </c>
      <c r="B49" s="75" t="inlineStr">
        <is>
          <t>Deck says: spend more on what works, start brand campaigns, push combo, retarget viewers. So SB Brand (combo) starts at 10%, SD starts at 15%. Auto cut to 10% because winning search terms are moved to Exact.</t>
        </is>
      </c>
      <c r="C49" s="70" t="n"/>
      <c r="D49" s="70" t="n"/>
      <c r="E49" s="70" t="n"/>
      <c r="F49" s="70" t="n"/>
      <c r="G49" s="70" t="n"/>
      <c r="H49" s="70" t="n"/>
      <c r="I49" s="70" t="n"/>
      <c r="J49" s="71" t="n"/>
    </row>
    <row r="50" ht="48" customHeight="1">
      <c r="A50" s="73" t="inlineStr">
        <is>
          <t>Month 5–6: Hit target</t>
        </is>
      </c>
      <c r="B50" s="75" t="inlineStr">
        <is>
          <t>Deck says: tighten, do not expand; repeat buyers add up. Auto down to 8%, PT to 12%. SB Brand up to 15% (combo raises AOV). SD up to 18% with more weight on Purchase remarketing for repeat orders.</t>
        </is>
      </c>
      <c r="C50" s="70" t="n"/>
      <c r="D50" s="70" t="n"/>
      <c r="E50" s="70" t="n"/>
      <c r="F50" s="70" t="n"/>
      <c r="G50" s="70" t="n"/>
      <c r="H50" s="70" t="n"/>
      <c r="I50" s="70" t="n"/>
      <c r="J50" s="71" t="n"/>
    </row>
    <row r="51" ht="48" customHeight="1">
      <c r="A51" s="73" t="inlineStr">
        <is>
          <t>Why Generic gets the most</t>
        </is>
      </c>
      <c r="B51" s="75" t="inlineStr">
        <is>
          <t>Generic relevant searches = 4,190/month vs Brand 3,700 and Competitor 820 (your keyword sheet). New customers come from generic searches; brand searchers already know CURRYiT and are cheaper to win.</t>
        </is>
      </c>
      <c r="C51" s="70" t="n"/>
      <c r="D51" s="70" t="n"/>
      <c r="E51" s="70" t="n"/>
      <c r="F51" s="70" t="n"/>
      <c r="G51" s="70" t="n"/>
      <c r="H51" s="70" t="n"/>
      <c r="I51" s="70" t="n"/>
      <c r="J51" s="71" t="n"/>
    </row>
    <row r="52" ht="48" customHeight="1">
      <c r="A52" s="73" t="inlineStr">
        <is>
          <t>Why SB Video flat 15%</t>
        </is>
      </c>
      <c r="B52" s="75" t="inlineStr">
        <is>
          <t>Deck: "15 minute cooking video – best performing format for food". Video ads get higher CTR than static ads (benchmark ~0.9% vs 0.3–0.4%). Kept steady so the brand is always visible at top of search.</t>
        </is>
      </c>
      <c r="C52" s="70" t="n"/>
      <c r="D52" s="70" t="n"/>
      <c r="E52" s="70" t="n"/>
      <c r="F52" s="70" t="n"/>
      <c r="G52" s="70" t="n"/>
      <c r="H52" s="70" t="n"/>
      <c r="I52" s="70" t="n"/>
      <c r="J52" s="71" t="n"/>
    </row>
    <row r="53" ht="78" customHeight="1">
      <c r="A53" s="73" t="inlineStr">
        <is>
          <t>Watch-outs</t>
        </is>
      </c>
      <c r="B53" s="75" t="inlineStr">
        <is>
          <t>1) Your Media Planning assumptions table still has the Planterie text: "AOV 1000 = average of 3 plant products". CURRYiT AOV is ₹450 (combo of 3, deck). Please change it.  2) The ACOS/CTR/CPC reasons say "goes up/down gradually", but your numbers are flat (CTR 0.4%, CPC ₹12, ROAS 3 every month). Either make them change month-wise or change the text.  3) SP CT and IP campaign names in your SP sheet still say "SP/Whey Protein/…" – rename to ChettinadChicken.</t>
        </is>
      </c>
      <c r="C53" s="70" t="n"/>
      <c r="D53" s="70" t="n"/>
      <c r="E53" s="70" t="n"/>
      <c r="F53" s="70" t="n"/>
      <c r="G53" s="70" t="n"/>
      <c r="H53" s="70" t="n"/>
      <c r="I53" s="70" t="n"/>
      <c r="J53" s="71" t="n"/>
    </row>
  </sheetData>
  <mergeCells count="17">
    <mergeCell ref="A1:J1"/>
    <mergeCell ref="A46:J46"/>
    <mergeCell ref="H10:J10"/>
    <mergeCell ref="B51:J51"/>
    <mergeCell ref="A14:J14"/>
    <mergeCell ref="H5:J5"/>
    <mergeCell ref="B47:J47"/>
    <mergeCell ref="A3:J3"/>
    <mergeCell ref="B50:J50"/>
    <mergeCell ref="H8:J8"/>
    <mergeCell ref="H9:J9"/>
    <mergeCell ref="B49:J49"/>
    <mergeCell ref="B53:J53"/>
    <mergeCell ref="B52:J52"/>
    <mergeCell ref="H7:J7"/>
    <mergeCell ref="B48:J48"/>
    <mergeCell ref="H6:J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Ankit Gupta</dc:creator>
  <dcterms:created xmlns:dcterms="http://purl.org/dc/terms/" xmlns:xsi="http://www.w3.org/2001/XMLSchema-instance" xsi:type="dcterms:W3CDTF">2026-09-17T11:36:25Z</dcterms:created>
  <dcterms:modified xmlns:dcterms="http://purl.org/dc/terms/" xmlns:xsi="http://www.w3.org/2001/XMLSchema-instance" xsi:type="dcterms:W3CDTF">2026-10-04T15:01:06Z</dcterms:modified>
  <cp:lastModifiedBy>Ankit Gupta</cp:lastModifiedBy>
</cp:coreProperties>
</file>