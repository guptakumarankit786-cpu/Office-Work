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7" activeTab="8" autoFilterDateGrouping="1"/>
  </bookViews>
  <sheets>
    <sheet xmlns:r="http://schemas.openxmlformats.org/officeDocument/2006/relationships" name="All keywords" sheetId="1" state="visible" r:id="rId1"/>
    <sheet xmlns:r="http://schemas.openxmlformats.org/officeDocument/2006/relationships" name="Generic Kws" sheetId="2" state="visible" r:id="rId2"/>
    <sheet xmlns:r="http://schemas.openxmlformats.org/officeDocument/2006/relationships" name="Brand Kws" sheetId="3" state="visible" r:id="rId3"/>
    <sheet xmlns:r="http://schemas.openxmlformats.org/officeDocument/2006/relationships" name="Comp Keywords" sheetId="4" state="visible" r:id="rId4"/>
    <sheet xmlns:r="http://schemas.openxmlformats.org/officeDocument/2006/relationships" name="SP Campaign" sheetId="5" state="visible" r:id="rId5"/>
    <sheet xmlns:r="http://schemas.openxmlformats.org/officeDocument/2006/relationships" name="SB Campaign" sheetId="6" state="visible" r:id="rId6"/>
    <sheet xmlns:r="http://schemas.openxmlformats.org/officeDocument/2006/relationships" name="SD Campaign" sheetId="7" state="visible" r:id="rId7"/>
    <sheet xmlns:r="http://schemas.openxmlformats.org/officeDocument/2006/relationships" name="Media Planning" sheetId="8" state="visible" r:id="rId8"/>
    <sheet xmlns:r="http://schemas.openxmlformats.org/officeDocument/2006/relationships" name="Month 1 and 2" sheetId="9" state="visible" r:id="rId9"/>
    <sheet xmlns:r="http://schemas.openxmlformats.org/officeDocument/2006/relationships" name="Month 3 and 4" sheetId="10" state="visible" r:id="rId10"/>
    <sheet xmlns:r="http://schemas.openxmlformats.org/officeDocument/2006/relationships" name="Month 5 and 6" sheetId="11" state="visible" r:id="rId11"/>
    <sheet xmlns:r="http://schemas.openxmlformats.org/officeDocument/2006/relationships" name="Phase Summary" sheetId="12" state="visible" r:id="rId12"/>
  </sheets>
  <definedNames>
    <definedName name="AOV">'Media Planning'!$M$5</definedName>
    <definedName name="_xlnm._FilterDatabase" localSheetId="0" hidden="1">'All keywords'!$A$1:$H$243</definedName>
    <definedName name="_xlnm._FilterDatabase" localSheetId="1" hidden="1">'Generic Kws'!$A$1:$H$206</definedName>
  </definedNames>
  <calcPr calcId="191029" fullCalcOnLoad="1"/>
</workbook>
</file>

<file path=xl/styles.xml><?xml version="1.0" encoding="utf-8"?>
<styleSheet xmlns="http://schemas.openxmlformats.org/spreadsheetml/2006/main">
  <numFmts count="7">
    <numFmt numFmtId="164" formatCode="&quot;₹&quot;\ #,##0;[Red]&quot;₹&quot;\ \-#,##0"/>
    <numFmt numFmtId="165" formatCode="_ * #,##0_ ;_ * \-#,##0_ ;_ * &quot;-&quot;??_ ;_ @_ "/>
    <numFmt numFmtId="166" formatCode="0.0%"/>
    <numFmt numFmtId="167" formatCode="&quot;₹&quot;\ #,##0"/>
    <numFmt numFmtId="168" formatCode="₹#,##0"/>
    <numFmt numFmtId="169" formatCode="₹0"/>
    <numFmt numFmtId="170" formatCode="₹0.0"/>
  </numFmts>
  <fonts count="22">
    <font>
      <name val="Calibri"/>
      <family val="2"/>
      <color theme="1"/>
      <sz val="11"/>
      <scheme val="minor"/>
    </font>
    <font>
      <name val="Calibri"/>
      <family val="2"/>
      <b val="1"/>
      <color theme="1"/>
      <sz val="11"/>
      <scheme val="minor"/>
    </font>
    <font>
      <name val="Arial"/>
      <family val="2"/>
      <color theme="1"/>
      <sz val="10"/>
    </font>
    <font>
      <name val="Arial"/>
      <family val="2"/>
      <b val="1"/>
      <color theme="1"/>
      <sz val="10"/>
    </font>
    <font>
      <name val="Calibri"/>
      <b val="1"/>
      <color rgb="FFC00000"/>
      <sz val="11"/>
    </font>
    <font>
      <name val="Calibri"/>
      <family val="2"/>
      <b val="1"/>
      <color theme="1"/>
      <sz val="14"/>
    </font>
    <font>
      <name val="Calibri"/>
      <family val="2"/>
      <b val="1"/>
      <color rgb="FFC00000"/>
      <sz val="11"/>
    </font>
    <font>
      <name val="Calibri"/>
      <family val="2"/>
      <color theme="1"/>
      <sz val="11"/>
    </font>
    <font>
      <name val="Calibri"/>
      <family val="2"/>
      <b val="1"/>
      <sz val="11"/>
    </font>
    <font>
      <name val="Calibri"/>
      <family val="2"/>
      <sz val="11"/>
    </font>
    <font>
      <name val="Calibri"/>
      <family val="2"/>
      <color rgb="FFC00000"/>
      <sz val="11"/>
      <scheme val="minor"/>
    </font>
    <font>
      <name val="Calibri"/>
      <family val="2"/>
      <b val="1"/>
      <color rgb="FFFFFFFF"/>
      <sz val="11"/>
    </font>
    <font>
      <name val="Calibri"/>
      <family val="2"/>
      <b val="1"/>
      <color rgb="FFC00000"/>
      <sz val="11"/>
      <scheme val="minor"/>
    </font>
    <font>
      <name val="Calibri"/>
      <family val="2"/>
      <color theme="1"/>
      <sz val="11"/>
      <scheme val="minor"/>
    </font>
    <font>
      <name val="Arial"/>
      <charset val="134"/>
      <color theme="1"/>
      <sz val="18"/>
    </font>
    <font>
      <name val="Arial"/>
      <charset val="134"/>
      <b val="1"/>
      <color theme="1"/>
      <sz val="10"/>
    </font>
    <font>
      <name val="Arial"/>
      <charset val="134"/>
      <color theme="1"/>
      <sz val="10"/>
    </font>
    <font>
      <name val="Calibri"/>
      <charset val="134"/>
      <b val="1"/>
      <color theme="1"/>
      <sz val="14"/>
      <scheme val="minor"/>
    </font>
    <font>
      <name val="Calibri"/>
      <charset val="134"/>
      <b val="1"/>
      <color theme="1"/>
      <sz val="12"/>
      <scheme val="minor"/>
    </font>
    <font>
      <b val="1"/>
    </font>
    <font>
      <b val="1"/>
      <sz val="14"/>
    </font>
    <font/>
  </fonts>
  <fills count="13">
    <fill>
      <patternFill/>
    </fill>
    <fill>
      <patternFill patternType="gray125"/>
    </fill>
    <fill>
      <patternFill patternType="solid">
        <fgColor theme="9"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1E5646"/>
      </patternFill>
    </fill>
    <fill>
      <patternFill patternType="solid">
        <fgColor theme="9" tint="0.3999145481734672"/>
        <bgColor indexed="64"/>
      </patternFill>
    </fill>
    <fill>
      <patternFill patternType="solid">
        <fgColor theme="9" tint="0.3999755851924192"/>
        <bgColor indexed="64"/>
      </patternFill>
    </fill>
    <fill>
      <patternFill patternType="solid">
        <fgColor rgb="FFFFFF00"/>
        <bgColor indexed="64"/>
      </patternFill>
    </fill>
    <fill>
      <patternFill patternType="solid">
        <fgColor rgb="00A9D08E"/>
      </patternFill>
    </fill>
    <fill>
      <patternFill patternType="solid">
        <fgColor rgb="00E2EFDA"/>
      </patternFill>
    </fill>
    <fill>
      <patternFill patternType="solid">
        <fgColor rgb="00FFF2CC"/>
      </patternFill>
    </fill>
    <fill>
      <patternFill patternType="solid">
        <fgColor rgb="00FFFFFF"/>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D9E1E5"/>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3">
    <xf numFmtId="0" fontId="13" fillId="0" borderId="0"/>
    <xf numFmtId="43" fontId="13" fillId="0" borderId="0"/>
    <xf numFmtId="9" fontId="13" fillId="0" borderId="0"/>
  </cellStyleXfs>
  <cellXfs count="11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center" wrapText="1"/>
    </xf>
    <xf numFmtId="0" fontId="3" fillId="2"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2" applyAlignment="1" pivotButton="0" quotePrefix="0" xfId="0">
      <alignment horizontal="left" vertical="center" wrapText="1"/>
    </xf>
    <xf numFmtId="0" fontId="1" fillId="3" borderId="1" applyAlignment="1" pivotButton="0" quotePrefix="0" xfId="0">
      <alignment horizontal="left" vertical="center" wrapText="1"/>
    </xf>
    <xf numFmtId="0" fontId="3" fillId="3" borderId="1" applyAlignment="1" pivotButton="0" quotePrefix="0" xfId="0">
      <alignment horizontal="left" vertical="center" wrapText="1"/>
    </xf>
    <xf numFmtId="0" fontId="1" fillId="3"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3" fillId="2" borderId="2" applyAlignment="1" pivotButton="0" quotePrefix="0" xfId="0">
      <alignment horizontal="left"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8" fillId="4" borderId="1" applyAlignment="1" pivotButton="0" quotePrefix="0" xfId="0">
      <alignment horizontal="center" vertical="center" wrapText="1"/>
    </xf>
    <xf numFmtId="0" fontId="11" fillId="5" borderId="0" applyAlignment="1" pivotButton="0" quotePrefix="0" xfId="0">
      <alignment horizontal="center" vertical="center"/>
    </xf>
    <xf numFmtId="0" fontId="11" fillId="5" borderId="3" applyAlignment="1" pivotButton="0" quotePrefix="0" xfId="0">
      <alignment horizontal="center" vertical="center"/>
    </xf>
    <xf numFmtId="0" fontId="10" fillId="0" borderId="1" applyAlignment="1" pivotButton="0" quotePrefix="0" xfId="0">
      <alignment horizontal="left" vertical="center" wrapText="1"/>
    </xf>
    <xf numFmtId="0" fontId="15" fillId="2" borderId="1" applyAlignment="1" pivotButton="0" quotePrefix="0" xfId="0">
      <alignment wrapText="1"/>
    </xf>
    <xf numFmtId="0" fontId="16" fillId="0" borderId="1" applyAlignment="1" pivotButton="0" quotePrefix="0" xfId="0">
      <alignment wrapText="1"/>
    </xf>
    <xf numFmtId="1" fontId="16" fillId="0" borderId="1" applyAlignment="1" pivotButton="0" quotePrefix="0" xfId="0">
      <alignment wrapText="1"/>
    </xf>
    <xf numFmtId="10" fontId="16" fillId="0" borderId="1" applyAlignment="1" pivotButton="0" quotePrefix="0" xfId="0">
      <alignment horizontal="right" wrapText="1"/>
    </xf>
    <xf numFmtId="1" fontId="0" fillId="0" borderId="1" applyAlignment="1" pivotButton="0" quotePrefix="0" xfId="0">
      <alignment wrapText="1"/>
    </xf>
    <xf numFmtId="0" fontId="17" fillId="0" borderId="0" applyAlignment="1" pivotButton="0" quotePrefix="0" xfId="0">
      <alignment wrapText="1"/>
    </xf>
    <xf numFmtId="0" fontId="18" fillId="0" borderId="0" applyAlignment="1" pivotButton="0" quotePrefix="0" xfId="0">
      <alignment wrapText="1"/>
    </xf>
    <xf numFmtId="0" fontId="18" fillId="7" borderId="1" applyAlignment="1" pivotButton="0" quotePrefix="0" xfId="0">
      <alignment wrapText="1"/>
    </xf>
    <xf numFmtId="0" fontId="0" fillId="7" borderId="1" applyAlignment="1" pivotButton="0" quotePrefix="0" xfId="0">
      <alignment wrapText="1"/>
    </xf>
    <xf numFmtId="164" fontId="16" fillId="0" borderId="1" applyAlignment="1" pivotButton="0" quotePrefix="0" xfId="0">
      <alignment wrapText="1"/>
    </xf>
    <xf numFmtId="165" fontId="16" fillId="0" borderId="1" applyAlignment="1" pivotButton="0" quotePrefix="0" xfId="1">
      <alignment horizontal="right" wrapText="1"/>
    </xf>
    <xf numFmtId="166" fontId="16" fillId="0" borderId="1" applyAlignment="1" pivotButton="0" quotePrefix="0" xfId="0">
      <alignment wrapText="1"/>
    </xf>
    <xf numFmtId="9" fontId="16" fillId="0" borderId="1" applyAlignment="1" pivotButton="0" quotePrefix="0" xfId="0">
      <alignment wrapText="1"/>
    </xf>
    <xf numFmtId="167" fontId="16" fillId="0" borderId="1" applyAlignment="1" pivotButton="0" quotePrefix="0" xfId="0">
      <alignment wrapText="1"/>
    </xf>
    <xf numFmtId="165" fontId="16" fillId="0" borderId="1" applyAlignment="1" pivotButton="0" quotePrefix="0" xfId="0">
      <alignment wrapText="1"/>
    </xf>
    <xf numFmtId="1" fontId="16" fillId="0" borderId="1" applyAlignment="1" pivotButton="0" quotePrefix="0" xfId="2">
      <alignment wrapText="1"/>
    </xf>
    <xf numFmtId="0" fontId="0" fillId="0" borderId="1" applyAlignment="1" pivotButton="0" quotePrefix="0" xfId="0">
      <alignment horizontal="center" wrapText="1"/>
    </xf>
    <xf numFmtId="0" fontId="14" fillId="6" borderId="1" applyAlignment="1" pivotButton="0" quotePrefix="0" xfId="0">
      <alignment horizontal="center" wrapText="1"/>
    </xf>
    <xf numFmtId="0" fontId="18" fillId="7" borderId="1" applyAlignment="1" pivotButton="0" quotePrefix="0" xfId="0">
      <alignment horizontal="center" wrapText="1"/>
    </xf>
    <xf numFmtId="0" fontId="0" fillId="0" borderId="0" applyAlignment="1" pivotButton="0" quotePrefix="0" xfId="0">
      <alignment horizontal="center" vertical="center" wrapText="1"/>
    </xf>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0" fillId="4" borderId="2" applyAlignment="1" pivotButton="0" quotePrefix="0" xfId="0">
      <alignment vertical="center" wrapText="1"/>
    </xf>
    <xf numFmtId="0" fontId="0" fillId="4" borderId="2" applyAlignment="1" pivotButton="0" quotePrefix="0" xfId="0">
      <alignment wrapText="1"/>
    </xf>
    <xf numFmtId="0" fontId="0" fillId="4" borderId="1" applyAlignment="1" pivotButton="0" quotePrefix="0" xfId="0">
      <alignment vertical="center" wrapText="1"/>
    </xf>
    <xf numFmtId="0" fontId="0" fillId="4" borderId="1" pivotButton="0" quotePrefix="0" xfId="0"/>
    <xf numFmtId="0" fontId="6" fillId="4" borderId="1" applyAlignment="1" pivotButton="0" quotePrefix="0" xfId="0">
      <alignment horizontal="center" vertical="center" wrapText="1"/>
    </xf>
    <xf numFmtId="0" fontId="4" fillId="4" borderId="1" applyAlignment="1" pivotButton="0" quotePrefix="0" xfId="0">
      <alignment horizontal="center" vertical="center"/>
    </xf>
    <xf numFmtId="0" fontId="0" fillId="0" borderId="1" applyAlignment="1" pivotButton="0" quotePrefix="0" xfId="0">
      <alignment horizontal="center" vertical="center"/>
    </xf>
    <xf numFmtId="0" fontId="5" fillId="4" borderId="0" applyAlignment="1" pivotButton="0" quotePrefix="0" xfId="0">
      <alignment horizontal="center"/>
    </xf>
    <xf numFmtId="0" fontId="0" fillId="4" borderId="0" pivotButton="0" quotePrefix="0" xfId="0"/>
    <xf numFmtId="165" fontId="0" fillId="8" borderId="0" applyAlignment="1" pivotButton="0" quotePrefix="0" xfId="0">
      <alignment wrapText="1"/>
    </xf>
    <xf numFmtId="0" fontId="14" fillId="6" borderId="1" applyAlignment="1" pivotButton="0" quotePrefix="0" xfId="0">
      <alignment horizontal="center" vertical="center" wrapText="1"/>
    </xf>
    <xf numFmtId="0" fontId="0" fillId="0" borderId="0" applyAlignment="1" pivotButton="0" quotePrefix="0" xfId="0">
      <alignment vertical="center"/>
    </xf>
    <xf numFmtId="0" fontId="14" fillId="6" borderId="1" applyAlignment="1" pivotButton="0" quotePrefix="0" xfId="0">
      <alignment horizontal="center" vertical="center" wrapText="1"/>
    </xf>
    <xf numFmtId="0" fontId="0" fillId="0" borderId="4" applyAlignment="1" pivotButton="0" quotePrefix="0" xfId="0">
      <alignment horizontal="center" vertical="center"/>
    </xf>
    <xf numFmtId="9" fontId="0" fillId="0" borderId="0" applyAlignment="1" pivotButton="0" quotePrefix="0" xfId="0">
      <alignment vertical="center"/>
    </xf>
    <xf numFmtId="0" fontId="0" fillId="0" borderId="0" applyAlignment="1" pivotButton="0" quotePrefix="0" xfId="0">
      <alignment horizontal="center" vertical="center"/>
    </xf>
    <xf numFmtId="0" fontId="1" fillId="2" borderId="1" applyAlignment="1" pivotButton="0" quotePrefix="0" xfId="0">
      <alignment horizontal="center" vertical="center" wrapText="1"/>
    </xf>
    <xf numFmtId="0" fontId="1" fillId="0" borderId="1" applyAlignment="1" pivotButton="0" quotePrefix="0" xfId="0">
      <alignment vertical="center" wrapText="1"/>
    </xf>
    <xf numFmtId="164" fontId="0" fillId="0" borderId="1" applyAlignment="1" pivotButton="0" quotePrefix="0" xfId="0">
      <alignment vertical="center" wrapText="1"/>
    </xf>
    <xf numFmtId="3" fontId="0" fillId="0" borderId="1" applyAlignment="1" pivotButton="0" quotePrefix="0" xfId="0">
      <alignment vertical="center" wrapText="1"/>
    </xf>
    <xf numFmtId="10" fontId="0" fillId="0" borderId="1" applyAlignment="1" pivotButton="0" quotePrefix="0" xfId="0">
      <alignment vertical="center" wrapText="1"/>
    </xf>
    <xf numFmtId="9" fontId="0" fillId="0" borderId="1" applyAlignment="1" pivotButton="0" quotePrefix="0" xfId="0">
      <alignment vertical="center" wrapText="1"/>
    </xf>
    <xf numFmtId="4" fontId="0" fillId="0" borderId="1" applyAlignment="1" pivotButton="0" quotePrefix="0" xfId="0">
      <alignment vertical="center" wrapText="1"/>
    </xf>
    <xf numFmtId="0" fontId="0" fillId="0" borderId="5"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11" pivotButton="0" quotePrefix="0" xfId="0"/>
    <xf numFmtId="0" fontId="0" fillId="0" borderId="2" pivotButton="0" quotePrefix="0" xfId="0"/>
    <xf numFmtId="165" fontId="16" fillId="0" borderId="1" applyAlignment="1" pivotButton="0" quotePrefix="0" xfId="0">
      <alignment wrapText="1"/>
    </xf>
    <xf numFmtId="166" fontId="16" fillId="0" borderId="1" applyAlignment="1" pivotButton="0" quotePrefix="0" xfId="0">
      <alignment wrapText="1"/>
    </xf>
    <xf numFmtId="167" fontId="16" fillId="0" borderId="1" applyAlignment="1" pivotButton="0" quotePrefix="0" xfId="0">
      <alignment wrapText="1"/>
    </xf>
    <xf numFmtId="165" fontId="16" fillId="0" borderId="1" applyAlignment="1" pivotButton="0" quotePrefix="0" xfId="1">
      <alignment horizontal="right" wrapText="1"/>
    </xf>
    <xf numFmtId="164" fontId="16" fillId="0" borderId="1" applyAlignment="1" pivotButton="0" quotePrefix="0" xfId="0">
      <alignment wrapText="1"/>
    </xf>
    <xf numFmtId="165" fontId="0" fillId="8" borderId="0" applyAlignment="1" pivotButton="0" quotePrefix="0" xfId="0">
      <alignment wrapText="1"/>
    </xf>
    <xf numFmtId="0" fontId="20" fillId="9" borderId="12" applyAlignment="1" pivotButton="0" quotePrefix="0" xfId="0">
      <alignment horizontal="center" vertical="center" wrapText="1"/>
    </xf>
    <xf numFmtId="0" fontId="19" fillId="10" borderId="12" applyAlignment="1" pivotButton="0" quotePrefix="0" xfId="0">
      <alignment horizontal="left" vertical="center" wrapText="1"/>
    </xf>
    <xf numFmtId="168" fontId="19" fillId="10" borderId="12" applyAlignment="1" pivotButton="0" quotePrefix="0" xfId="0">
      <alignment horizontal="center" vertical="center" wrapText="1"/>
    </xf>
    <xf numFmtId="0" fontId="21" fillId="11" borderId="12" applyAlignment="1" pivotButton="0" quotePrefix="0" xfId="0">
      <alignment horizontal="left" vertical="center" wrapText="1"/>
    </xf>
    <xf numFmtId="0" fontId="19" fillId="9" borderId="12" applyAlignment="1" pivotButton="0" quotePrefix="0" xfId="0">
      <alignment horizontal="left" vertical="center" wrapText="1"/>
    </xf>
    <xf numFmtId="0" fontId="0" fillId="0" borderId="15" pivotButton="0" quotePrefix="0" xfId="0"/>
    <xf numFmtId="0" fontId="0" fillId="0" borderId="16" pivotButton="0" quotePrefix="0" xfId="0"/>
    <xf numFmtId="0" fontId="19" fillId="9" borderId="12" applyAlignment="1" pivotButton="0" quotePrefix="0" xfId="0">
      <alignment horizontal="center" vertical="center" wrapText="1"/>
    </xf>
    <xf numFmtId="0" fontId="21" fillId="0" borderId="12" applyAlignment="1" pivotButton="0" quotePrefix="0" xfId="0">
      <alignment horizontal="left" vertical="center" wrapText="1"/>
    </xf>
    <xf numFmtId="168" fontId="21" fillId="0" borderId="12" applyAlignment="1" pivotButton="0" quotePrefix="0" xfId="0">
      <alignment horizontal="center" vertical="center" wrapText="1"/>
    </xf>
    <xf numFmtId="3" fontId="21" fillId="0" borderId="12" applyAlignment="1" pivotButton="0" quotePrefix="0" xfId="0">
      <alignment horizontal="center" vertical="center" wrapText="1"/>
    </xf>
    <xf numFmtId="169" fontId="21" fillId="0" borderId="12" applyAlignment="1" pivotButton="0" quotePrefix="0" xfId="0">
      <alignment horizontal="center" vertical="center" wrapText="1"/>
    </xf>
    <xf numFmtId="10" fontId="21" fillId="11" borderId="12" applyAlignment="1" pivotButton="0" quotePrefix="0" xfId="0">
      <alignment horizontal="center" vertical="center" wrapText="1"/>
    </xf>
    <xf numFmtId="169" fontId="21" fillId="11" borderId="12" applyAlignment="1" pivotButton="0" quotePrefix="0" xfId="0">
      <alignment horizontal="center" vertical="center" wrapText="1"/>
    </xf>
    <xf numFmtId="166" fontId="21" fillId="11" borderId="12" applyAlignment="1" pivotButton="0" quotePrefix="0" xfId="0">
      <alignment horizontal="center" vertical="center" wrapText="1"/>
    </xf>
    <xf numFmtId="166" fontId="21" fillId="0" borderId="12" applyAlignment="1" pivotButton="0" quotePrefix="0" xfId="0">
      <alignment horizontal="center" vertical="center" wrapText="1"/>
    </xf>
    <xf numFmtId="2" fontId="21" fillId="0" borderId="12" applyAlignment="1" pivotButton="0" quotePrefix="0" xfId="0">
      <alignment horizontal="center" vertical="center" wrapText="1"/>
    </xf>
    <xf numFmtId="9" fontId="21" fillId="11" borderId="12" applyAlignment="1" pivotButton="0" quotePrefix="0" xfId="0">
      <alignment horizontal="center" vertical="center" wrapText="1"/>
    </xf>
    <xf numFmtId="3" fontId="19" fillId="10" borderId="12" applyAlignment="1" pivotButton="0" quotePrefix="0" xfId="0">
      <alignment horizontal="center" vertical="center" wrapText="1"/>
    </xf>
    <xf numFmtId="169" fontId="19" fillId="10" borderId="12" applyAlignment="1" pivotButton="0" quotePrefix="0" xfId="0">
      <alignment horizontal="center" vertical="center" wrapText="1"/>
    </xf>
    <xf numFmtId="10" fontId="19" fillId="10" borderId="12" applyAlignment="1" pivotButton="0" quotePrefix="0" xfId="0">
      <alignment horizontal="center" vertical="center" wrapText="1"/>
    </xf>
    <xf numFmtId="170" fontId="19" fillId="10" borderId="12" applyAlignment="1" pivotButton="0" quotePrefix="0" xfId="0">
      <alignment horizontal="center" vertical="center" wrapText="1"/>
    </xf>
    <xf numFmtId="166" fontId="19" fillId="10" borderId="12" applyAlignment="1" pivotButton="0" quotePrefix="0" xfId="0">
      <alignment horizontal="center" vertical="center" wrapText="1"/>
    </xf>
    <xf numFmtId="2" fontId="19" fillId="10" borderId="12" applyAlignment="1" pivotButton="0" quotePrefix="0" xfId="0">
      <alignment horizontal="center" vertical="center" wrapText="1"/>
    </xf>
    <xf numFmtId="9" fontId="19" fillId="10" borderId="12" applyAlignment="1" pivotButton="0" quotePrefix="0" xfId="0">
      <alignment horizontal="center" vertical="center" wrapText="1"/>
    </xf>
    <xf numFmtId="10" fontId="21" fillId="12" borderId="12" applyAlignment="1" pivotButton="0" quotePrefix="0" xfId="0">
      <alignment horizontal="center" vertical="center" wrapText="1"/>
    </xf>
    <xf numFmtId="169" fontId="21" fillId="12" borderId="12" applyAlignment="1" pivotButton="0" quotePrefix="0" xfId="0">
      <alignment horizontal="center" vertical="center" wrapText="1"/>
    </xf>
    <xf numFmtId="166" fontId="21" fillId="12" borderId="12" applyAlignment="1" pivotButton="0" quotePrefix="0" xfId="0">
      <alignment horizontal="center" vertical="center" wrapText="1"/>
    </xf>
    <xf numFmtId="0" fontId="21" fillId="10" borderId="12" applyAlignment="1" pivotButton="0" quotePrefix="0" xfId="0">
      <alignment horizontal="center" vertical="center" wrapText="1"/>
    </xf>
    <xf numFmtId="0" fontId="19" fillId="0" borderId="12" applyAlignment="1" pivotButton="0" quotePrefix="0" xfId="0">
      <alignment horizontal="left" vertical="center"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43"/>
  <sheetViews>
    <sheetView topLeftCell="J1" workbookViewId="0">
      <selection activeCell="K9" sqref="K9"/>
    </sheetView>
  </sheetViews>
  <sheetFormatPr baseColWidth="8" defaultRowHeight="14.4"/>
  <sheetData>
    <row r="1">
      <c r="A1" s="24" t="inlineStr">
        <is>
          <t>Keyword</t>
        </is>
      </c>
      <c r="B1" s="24" t="inlineStr">
        <is>
          <t>Avg. monthly searches</t>
        </is>
      </c>
      <c r="C1" s="24" t="inlineStr">
        <is>
          <t>Relevant</t>
        </is>
      </c>
      <c r="D1" s="24" t="inlineStr">
        <is>
          <t>Broader/Campaign</t>
        </is>
      </c>
      <c r="E1" s="24" t="inlineStr">
        <is>
          <t>Sub Theme/Adgroup</t>
        </is>
      </c>
      <c r="F1" s="24" t="inlineStr">
        <is>
          <t>Reason</t>
        </is>
      </c>
      <c r="G1" s="24" t="inlineStr">
        <is>
          <t>Category</t>
        </is>
      </c>
      <c r="H1" s="24" t="inlineStr">
        <is>
          <t>Intent</t>
        </is>
      </c>
    </row>
    <row r="2">
      <c r="A2" t="inlineStr">
        <is>
          <t>curry paste thai</t>
        </is>
      </c>
      <c r="B2" t="n">
        <v>3600</v>
      </c>
      <c r="C2" t="inlineStr">
        <is>
          <t>No</t>
        </is>
      </c>
      <c r="F2" t="inlineStr">
        <is>
          <t>Thai / foreign cuisine – wrong flavour for a Chettinad paste</t>
        </is>
      </c>
      <c r="G2" t="inlineStr">
        <is>
          <t>Generic</t>
        </is>
      </c>
      <c r="H2" t="inlineStr">
        <is>
          <t>High / Commercial</t>
        </is>
      </c>
    </row>
    <row r="3">
      <c r="A3" t="inlineStr">
        <is>
          <t>thai curry paste</t>
        </is>
      </c>
      <c r="B3" t="n">
        <v>3600</v>
      </c>
      <c r="C3" t="inlineStr">
        <is>
          <t>No</t>
        </is>
      </c>
      <c r="F3" t="inlineStr">
        <is>
          <t>Thai / foreign cuisine – wrong flavour for a Chettinad paste</t>
        </is>
      </c>
      <c r="G3" t="inlineStr">
        <is>
          <t>Generic</t>
        </is>
      </c>
      <c r="H3" t="inlineStr">
        <is>
          <t>High / Commercial</t>
        </is>
      </c>
    </row>
    <row r="4">
      <c r="A4" t="inlineStr">
        <is>
          <t>thai green curry paste</t>
        </is>
      </c>
      <c r="B4" t="n">
        <v>2900</v>
      </c>
      <c r="C4" t="inlineStr">
        <is>
          <t>No</t>
        </is>
      </c>
      <c r="F4" t="inlineStr">
        <is>
          <t>Thai / foreign cuisine – wrong flavour for a Chettinad paste</t>
        </is>
      </c>
      <c r="G4" t="inlineStr">
        <is>
          <t>Generic</t>
        </is>
      </c>
      <c r="H4" t="inlineStr">
        <is>
          <t>High / Commercial</t>
        </is>
      </c>
    </row>
    <row r="5">
      <c r="A5" t="inlineStr">
        <is>
          <t>thai red curry paste</t>
        </is>
      </c>
      <c r="B5" t="n">
        <v>2400</v>
      </c>
      <c r="C5" t="inlineStr">
        <is>
          <t>No</t>
        </is>
      </c>
      <c r="F5" t="inlineStr">
        <is>
          <t>Thai / foreign cuisine – wrong flavour for a Chettinad paste</t>
        </is>
      </c>
      <c r="G5" t="inlineStr">
        <is>
          <t>Generic</t>
        </is>
      </c>
      <c r="H5" t="inlineStr">
        <is>
          <t>High / Commercial</t>
        </is>
      </c>
    </row>
    <row r="6">
      <c r="A6" t="inlineStr">
        <is>
          <t>chicken curry masala</t>
        </is>
      </c>
      <c r="B6" t="n">
        <v>1300</v>
      </c>
      <c r="C6" t="inlineStr">
        <is>
          <t>Yes</t>
        </is>
      </c>
      <c r="D6" t="inlineStr">
        <is>
          <t>Generic</t>
        </is>
      </c>
      <c r="E6" t="inlineStr">
        <is>
          <t>Chicken Curry Masala</t>
        </is>
      </c>
      <c r="F6" t="inlineStr">
        <is>
          <t>Same cooking need (chicken curry)</t>
        </is>
      </c>
      <c r="G6" t="inlineStr">
        <is>
          <t>Generic</t>
        </is>
      </c>
      <c r="H6" t="inlineStr">
        <is>
          <t>High / Commercial</t>
        </is>
      </c>
    </row>
    <row r="7">
      <c r="A7" t="inlineStr">
        <is>
          <t>chettinad masala</t>
        </is>
      </c>
      <c r="B7" t="n">
        <v>1000</v>
      </c>
      <c r="C7" t="inlineStr">
        <is>
          <t>Yes</t>
        </is>
      </c>
      <c r="D7" t="inlineStr">
        <is>
          <t>Generic</t>
        </is>
      </c>
      <c r="E7" t="inlineStr">
        <is>
          <t>Chettinad</t>
        </is>
      </c>
      <c r="F7" t="inlineStr">
        <is>
          <t>Exact cuisine match</t>
        </is>
      </c>
      <c r="G7" t="inlineStr">
        <is>
          <t>Generic</t>
        </is>
      </c>
      <c r="H7" t="inlineStr">
        <is>
          <t>High / Commercial</t>
        </is>
      </c>
    </row>
    <row r="8">
      <c r="A8" t="inlineStr">
        <is>
          <t>chicken chettinad masala</t>
        </is>
      </c>
      <c r="B8" t="n">
        <v>720</v>
      </c>
      <c r="C8" t="inlineStr">
        <is>
          <t>Yes</t>
        </is>
      </c>
      <c r="D8" t="inlineStr">
        <is>
          <t>Generic</t>
        </is>
      </c>
      <c r="E8" t="inlineStr">
        <is>
          <t>Chettinad</t>
        </is>
      </c>
      <c r="F8" t="inlineStr">
        <is>
          <t>Exact cuisine match</t>
        </is>
      </c>
      <c r="G8" t="inlineStr">
        <is>
          <t>Generic</t>
        </is>
      </c>
      <c r="H8" t="inlineStr">
        <is>
          <t>High / Commercial</t>
        </is>
      </c>
    </row>
    <row r="9">
      <c r="A9" t="inlineStr">
        <is>
          <t>red curry paste</t>
        </is>
      </c>
      <c r="B9" t="n">
        <v>720</v>
      </c>
      <c r="C9" t="inlineStr">
        <is>
          <t>No</t>
        </is>
      </c>
      <c r="F9" t="inlineStr">
        <is>
          <t>Thai / foreign cuisine – wrong flavour for a Chettinad paste</t>
        </is>
      </c>
      <c r="G9" t="inlineStr">
        <is>
          <t>Generic</t>
        </is>
      </c>
      <c r="H9" t="inlineStr">
        <is>
          <t>High / Commercial</t>
        </is>
      </c>
    </row>
    <row r="10">
      <c r="A10" t="inlineStr">
        <is>
          <t>green curry paste</t>
        </is>
      </c>
      <c r="B10" t="n">
        <v>590</v>
      </c>
      <c r="C10" t="inlineStr">
        <is>
          <t>No</t>
        </is>
      </c>
      <c r="F10" t="inlineStr">
        <is>
          <t>Thai / foreign cuisine – wrong flavour for a Chettinad paste</t>
        </is>
      </c>
      <c r="G10" t="inlineStr">
        <is>
          <t>Generic</t>
        </is>
      </c>
      <c r="H10" t="inlineStr">
        <is>
          <t>High / Commercial</t>
        </is>
      </c>
    </row>
    <row r="11">
      <c r="A11" t="inlineStr">
        <is>
          <t>real thai red curry paste</t>
        </is>
      </c>
      <c r="B11" t="n">
        <v>590</v>
      </c>
      <c r="C11" t="inlineStr">
        <is>
          <t>No</t>
        </is>
      </c>
      <c r="F11" t="inlineStr">
        <is>
          <t>Thai / foreign cuisine – wrong flavour for a Chettinad paste</t>
        </is>
      </c>
      <c r="G11" t="inlineStr">
        <is>
          <t>Generic</t>
        </is>
      </c>
      <c r="H11" t="inlineStr">
        <is>
          <t>High / Commercial</t>
        </is>
      </c>
    </row>
    <row r="12">
      <c r="A12" t="inlineStr">
        <is>
          <t>mae ploy thai curry paste</t>
        </is>
      </c>
      <c r="B12" t="n">
        <v>480</v>
      </c>
      <c r="C12" t="inlineStr">
        <is>
          <t>No</t>
        </is>
      </c>
      <c r="F12" t="inlineStr">
        <is>
          <t>Thai / foreign cuisine – wrong flavour for a Chettinad paste</t>
        </is>
      </c>
      <c r="G12" t="inlineStr">
        <is>
          <t>Competitor</t>
        </is>
      </c>
      <c r="H12" t="inlineStr">
        <is>
          <t>High / Commercial</t>
        </is>
      </c>
    </row>
    <row r="13">
      <c r="A13" t="inlineStr">
        <is>
          <t>massaman curry paste</t>
        </is>
      </c>
      <c r="B13" t="n">
        <v>480</v>
      </c>
      <c r="C13" t="inlineStr">
        <is>
          <t>No</t>
        </is>
      </c>
      <c r="F13" t="inlineStr">
        <is>
          <t>Thai / foreign cuisine – wrong flavour for a Chettinad paste</t>
        </is>
      </c>
      <c r="G13" t="inlineStr">
        <is>
          <t>Generic</t>
        </is>
      </c>
      <c r="H13" t="inlineStr">
        <is>
          <t>High / Commercial</t>
        </is>
      </c>
    </row>
    <row r="14">
      <c r="A14" t="inlineStr">
        <is>
          <t>curry paste</t>
        </is>
      </c>
      <c r="B14" t="n">
        <v>390</v>
      </c>
      <c r="C14" t="inlineStr">
        <is>
          <t>Yes</t>
        </is>
      </c>
      <c r="D14" t="inlineStr">
        <is>
          <t>Generic</t>
        </is>
      </c>
      <c r="E14" t="inlineStr">
        <is>
          <t>Curry Paste / Ready to Cook</t>
        </is>
      </c>
      <c r="F14" t="inlineStr">
        <is>
          <t>Format match (paste / ready-to-cook)</t>
        </is>
      </c>
      <c r="G14" t="inlineStr">
        <is>
          <t>Generic</t>
        </is>
      </c>
      <c r="H14" t="inlineStr">
        <is>
          <t>High / Commercial</t>
        </is>
      </c>
    </row>
    <row r="15">
      <c r="A15" t="inlineStr">
        <is>
          <t>real thai green curry paste</t>
        </is>
      </c>
      <c r="B15" t="n">
        <v>390</v>
      </c>
      <c r="C15" t="inlineStr">
        <is>
          <t>No</t>
        </is>
      </c>
      <c r="F15" t="inlineStr">
        <is>
          <t>Thai / foreign cuisine – wrong flavour for a Chettinad paste</t>
        </is>
      </c>
      <c r="G15" t="inlineStr">
        <is>
          <t>Generic</t>
        </is>
      </c>
      <c r="H15" t="inlineStr">
        <is>
          <t>High / Commercial</t>
        </is>
      </c>
    </row>
    <row r="16">
      <c r="A16" t="inlineStr">
        <is>
          <t>thai yellow curry paste</t>
        </is>
      </c>
      <c r="B16" t="n">
        <v>320</v>
      </c>
      <c r="C16" t="inlineStr">
        <is>
          <t>No</t>
        </is>
      </c>
      <c r="F16" t="inlineStr">
        <is>
          <t>Thai / foreign cuisine – wrong flavour for a Chettinad paste</t>
        </is>
      </c>
      <c r="G16" t="inlineStr">
        <is>
          <t>Generic</t>
        </is>
      </c>
      <c r="H16" t="inlineStr">
        <is>
          <t>High / Commercial</t>
        </is>
      </c>
    </row>
    <row r="17">
      <c r="A17" t="inlineStr">
        <is>
          <t>yellow curry paste</t>
        </is>
      </c>
      <c r="B17" t="n">
        <v>260</v>
      </c>
      <c r="C17" t="inlineStr">
        <is>
          <t>No</t>
        </is>
      </c>
      <c r="F17" t="inlineStr">
        <is>
          <t>Thai / foreign cuisine – wrong flavour for a Chettinad paste</t>
        </is>
      </c>
      <c r="G17" t="inlineStr">
        <is>
          <t>Generic</t>
        </is>
      </c>
      <c r="H17" t="inlineStr">
        <is>
          <t>High / Commercial</t>
        </is>
      </c>
    </row>
    <row r="18">
      <c r="A18" t="inlineStr">
        <is>
          <t>chicken curry masala powder</t>
        </is>
      </c>
      <c r="B18" t="n">
        <v>170</v>
      </c>
      <c r="C18" t="inlineStr">
        <is>
          <t>Yes</t>
        </is>
      </c>
      <c r="D18" t="inlineStr">
        <is>
          <t>Generic</t>
        </is>
      </c>
      <c r="E18" t="inlineStr">
        <is>
          <t>Chicken Curry Masala</t>
        </is>
      </c>
      <c r="F18" t="inlineStr">
        <is>
          <t>Same cooking need (chicken curry)</t>
        </is>
      </c>
      <c r="G18" t="inlineStr">
        <is>
          <t>Generic</t>
        </is>
      </c>
      <c r="H18" t="inlineStr">
        <is>
          <t>High / Commercial</t>
        </is>
      </c>
    </row>
    <row r="19">
      <c r="A19" t="inlineStr">
        <is>
          <t>maesri thai curry paste</t>
        </is>
      </c>
      <c r="B19" t="n">
        <v>170</v>
      </c>
      <c r="C19" t="inlineStr">
        <is>
          <t>No</t>
        </is>
      </c>
      <c r="F19" t="inlineStr">
        <is>
          <t>Thai / foreign cuisine – wrong flavour for a Chettinad paste</t>
        </is>
      </c>
      <c r="G19" t="inlineStr">
        <is>
          <t>Generic</t>
        </is>
      </c>
      <c r="H19" t="inlineStr">
        <is>
          <t>High / Commercial</t>
        </is>
      </c>
    </row>
    <row r="20">
      <c r="A20" t="inlineStr">
        <is>
          <t>namjai green curry paste</t>
        </is>
      </c>
      <c r="B20" t="n">
        <v>170</v>
      </c>
      <c r="C20" t="inlineStr">
        <is>
          <t>No</t>
        </is>
      </c>
      <c r="F20" t="inlineStr">
        <is>
          <t>Thai / foreign cuisine – wrong flavour for a Chettinad paste</t>
        </is>
      </c>
      <c r="G20" t="inlineStr">
        <is>
          <t>Generic</t>
        </is>
      </c>
      <c r="H20" t="inlineStr">
        <is>
          <t>High / Commercial</t>
        </is>
      </c>
    </row>
    <row r="21">
      <c r="A21" t="inlineStr">
        <is>
          <t>real thai curry paste</t>
        </is>
      </c>
      <c r="B21" t="n">
        <v>170</v>
      </c>
      <c r="C21" t="inlineStr">
        <is>
          <t>No</t>
        </is>
      </c>
      <c r="F21" t="inlineStr">
        <is>
          <t>Thai / foreign cuisine – wrong flavour for a Chettinad paste</t>
        </is>
      </c>
      <c r="G21" t="inlineStr">
        <is>
          <t>Generic</t>
        </is>
      </c>
      <c r="H21" t="inlineStr">
        <is>
          <t>High / Commercial</t>
        </is>
      </c>
    </row>
    <row r="22">
      <c r="A22" t="inlineStr">
        <is>
          <t>thai kitchen red curry paste</t>
        </is>
      </c>
      <c r="B22" t="n">
        <v>170</v>
      </c>
      <c r="C22" t="inlineStr">
        <is>
          <t>No</t>
        </is>
      </c>
      <c r="F22" t="inlineStr">
        <is>
          <t>Thai / foreign cuisine – wrong flavour for a Chettinad paste</t>
        </is>
      </c>
      <c r="G22" t="inlineStr">
        <is>
          <t>Competitor</t>
        </is>
      </c>
      <c r="H22" t="inlineStr">
        <is>
          <t>High / Commercial</t>
        </is>
      </c>
    </row>
    <row r="23">
      <c r="A23" t="inlineStr">
        <is>
          <t>chettinad masala powder</t>
        </is>
      </c>
      <c r="B23" t="n">
        <v>140</v>
      </c>
      <c r="C23" t="inlineStr">
        <is>
          <t>Yes</t>
        </is>
      </c>
      <c r="D23" t="inlineStr">
        <is>
          <t>Generic</t>
        </is>
      </c>
      <c r="E23" t="inlineStr">
        <is>
          <t>Chettinad</t>
        </is>
      </c>
      <c r="F23" t="inlineStr">
        <is>
          <t>Exact cuisine match</t>
        </is>
      </c>
      <c r="G23" t="inlineStr">
        <is>
          <t>Generic</t>
        </is>
      </c>
      <c r="H23" t="inlineStr">
        <is>
          <t>High / Commercial</t>
        </is>
      </c>
    </row>
    <row r="24">
      <c r="A24" t="inlineStr">
        <is>
          <t>mdh chicken curry masala</t>
        </is>
      </c>
      <c r="B24" t="n">
        <v>140</v>
      </c>
      <c r="C24" t="inlineStr">
        <is>
          <t>Yes</t>
        </is>
      </c>
      <c r="D24" t="inlineStr">
        <is>
          <t>Competitor</t>
        </is>
      </c>
      <c r="E24" t="inlineStr">
        <is>
          <t>Chicken Curry Masala Brands</t>
        </is>
      </c>
      <c r="F24" t="inlineStr">
        <is>
          <t>Competitor brand, chicken curry masala</t>
        </is>
      </c>
      <c r="G24" t="inlineStr">
        <is>
          <t>Competitor</t>
        </is>
      </c>
      <c r="H24" t="inlineStr">
        <is>
          <t>High / Commercial</t>
        </is>
      </c>
    </row>
    <row r="25">
      <c r="A25" t="inlineStr">
        <is>
          <t>sunrise chicken curry masala</t>
        </is>
      </c>
      <c r="B25" t="n">
        <v>140</v>
      </c>
      <c r="C25" t="inlineStr">
        <is>
          <t>Yes</t>
        </is>
      </c>
      <c r="D25" t="inlineStr">
        <is>
          <t>Competitor</t>
        </is>
      </c>
      <c r="E25" t="inlineStr">
        <is>
          <t>Chicken Curry Masala Brands</t>
        </is>
      </c>
      <c r="F25" t="inlineStr">
        <is>
          <t>Competitor brand, chicken curry masala</t>
        </is>
      </c>
      <c r="G25" t="inlineStr">
        <is>
          <t>Generic</t>
        </is>
      </c>
      <c r="H25" t="inlineStr">
        <is>
          <t>High / Commercial</t>
        </is>
      </c>
    </row>
    <row r="26">
      <c r="A26" t="inlineStr">
        <is>
          <t>chettinad chicken masala powder</t>
        </is>
      </c>
      <c r="B26" t="n">
        <v>110</v>
      </c>
      <c r="C26" t="inlineStr">
        <is>
          <t>Yes</t>
        </is>
      </c>
      <c r="D26" t="inlineStr">
        <is>
          <t>Generic</t>
        </is>
      </c>
      <c r="E26" t="inlineStr">
        <is>
          <t>Chettinad</t>
        </is>
      </c>
      <c r="F26" t="inlineStr">
        <is>
          <t>Exact cuisine match</t>
        </is>
      </c>
      <c r="G26" t="inlineStr">
        <is>
          <t>Generic</t>
        </is>
      </c>
      <c r="H26" t="inlineStr">
        <is>
          <t>High / Commercial</t>
        </is>
      </c>
    </row>
    <row r="27">
      <c r="A27" t="inlineStr">
        <is>
          <t>cookd chettinad masala</t>
        </is>
      </c>
      <c r="B27" t="n">
        <v>110</v>
      </c>
      <c r="C27" t="inlineStr">
        <is>
          <t>Yes</t>
        </is>
      </c>
      <c r="D27" t="inlineStr">
        <is>
          <t>Competitor</t>
        </is>
      </c>
      <c r="E27" t="inlineStr">
        <is>
          <t>Chettinad Competitors</t>
        </is>
      </c>
      <c r="F27" t="inlineStr">
        <is>
          <t>Competitor brand + Chettinad</t>
        </is>
      </c>
      <c r="G27" t="inlineStr">
        <is>
          <t>Generic</t>
        </is>
      </c>
      <c r="H27" t="inlineStr">
        <is>
          <t>High / Commercial</t>
        </is>
      </c>
    </row>
    <row r="28">
      <c r="A28" t="inlineStr">
        <is>
          <t>curry leaves paste</t>
        </is>
      </c>
      <c r="B28" t="n">
        <v>110</v>
      </c>
      <c r="C28" t="inlineStr">
        <is>
          <t>No</t>
        </is>
      </c>
      <c r="F28" t="inlineStr">
        <is>
          <t>Single-ingredient paste, not a curry</t>
        </is>
      </c>
      <c r="G28" t="inlineStr">
        <is>
          <t>Generic</t>
        </is>
      </c>
      <c r="H28" t="inlineStr">
        <is>
          <t>High / Commercial</t>
        </is>
      </c>
    </row>
    <row r="29">
      <c r="A29" t="inlineStr">
        <is>
          <t>blue elephant curry paste</t>
        </is>
      </c>
      <c r="B29" t="n">
        <v>90</v>
      </c>
      <c r="C29" t="inlineStr">
        <is>
          <t>No</t>
        </is>
      </c>
      <c r="F29" t="inlineStr">
        <is>
          <t>Thai / foreign cuisine – wrong flavour for a Chettinad paste</t>
        </is>
      </c>
      <c r="G29" t="inlineStr">
        <is>
          <t>Competitor</t>
        </is>
      </c>
      <c r="H29" t="inlineStr">
        <is>
          <t>High / Commercial</t>
        </is>
      </c>
    </row>
    <row r="30">
      <c r="A30" t="inlineStr">
        <is>
          <t>blue elephant thai curry paste</t>
        </is>
      </c>
      <c r="B30" t="n">
        <v>90</v>
      </c>
      <c r="C30" t="inlineStr">
        <is>
          <t>No</t>
        </is>
      </c>
      <c r="F30" t="inlineStr">
        <is>
          <t>Thai / foreign cuisine – wrong flavour for a Chettinad paste</t>
        </is>
      </c>
      <c r="G30" t="inlineStr">
        <is>
          <t>Competitor</t>
        </is>
      </c>
      <c r="H30" t="inlineStr">
        <is>
          <t>High / Commercial</t>
        </is>
      </c>
    </row>
    <row r="31">
      <c r="A31" t="inlineStr">
        <is>
          <t>chettinad biryani masala</t>
        </is>
      </c>
      <c r="B31" t="n">
        <v>90</v>
      </c>
      <c r="C31" t="inlineStr">
        <is>
          <t>No</t>
        </is>
      </c>
      <c r="F31" t="inlineStr">
        <is>
          <t>Biryani – different dish</t>
        </is>
      </c>
      <c r="G31" t="inlineStr">
        <is>
          <t>Generic</t>
        </is>
      </c>
      <c r="H31" t="inlineStr">
        <is>
          <t>High / Commercial</t>
        </is>
      </c>
    </row>
    <row r="32">
      <c r="A32" t="inlineStr">
        <is>
          <t>curry it ginger garlic paste</t>
        </is>
      </c>
      <c r="B32" t="n">
        <v>90</v>
      </c>
      <c r="C32" t="inlineStr">
        <is>
          <t>No</t>
        </is>
      </c>
      <c r="F32" t="inlineStr">
        <is>
          <t>Own brand, other product – route to that product's campaign</t>
        </is>
      </c>
      <c r="G32" t="inlineStr">
        <is>
          <t>Brand</t>
        </is>
      </c>
      <c r="H32" t="inlineStr">
        <is>
          <t>High / Commercial</t>
        </is>
      </c>
    </row>
    <row r="33">
      <c r="A33" t="inlineStr">
        <is>
          <t>curry paste indian</t>
        </is>
      </c>
      <c r="B33" t="n">
        <v>90</v>
      </c>
      <c r="C33" t="inlineStr">
        <is>
          <t>Yes</t>
        </is>
      </c>
      <c r="D33" t="inlineStr">
        <is>
          <t>Generic</t>
        </is>
      </c>
      <c r="E33" t="inlineStr">
        <is>
          <t>Curry Paste / Ready to Cook</t>
        </is>
      </c>
      <c r="F33" t="inlineStr">
        <is>
          <t>Format match (paste / ready-to-cook)</t>
        </is>
      </c>
      <c r="G33" t="inlineStr">
        <is>
          <t>Generic</t>
        </is>
      </c>
      <c r="H33" t="inlineStr">
        <is>
          <t>High / Commercial</t>
        </is>
      </c>
    </row>
    <row r="34">
      <c r="A34" t="inlineStr">
        <is>
          <t>namjai red curry paste</t>
        </is>
      </c>
      <c r="B34" t="n">
        <v>90</v>
      </c>
      <c r="C34" t="inlineStr">
        <is>
          <t>No</t>
        </is>
      </c>
      <c r="F34" t="inlineStr">
        <is>
          <t>Thai / foreign cuisine – wrong flavour for a Chettinad paste</t>
        </is>
      </c>
      <c r="G34" t="inlineStr">
        <is>
          <t>Generic</t>
        </is>
      </c>
      <c r="H34" t="inlineStr">
        <is>
          <t>High / Commercial</t>
        </is>
      </c>
    </row>
    <row r="35">
      <c r="A35" t="inlineStr">
        <is>
          <t>real thai yellow curry paste</t>
        </is>
      </c>
      <c r="B35" t="n">
        <v>90</v>
      </c>
      <c r="C35" t="inlineStr">
        <is>
          <t>No</t>
        </is>
      </c>
      <c r="F35" t="inlineStr">
        <is>
          <t>Thai / foreign cuisine – wrong flavour for a Chettinad paste</t>
        </is>
      </c>
      <c r="G35" t="inlineStr">
        <is>
          <t>Generic</t>
        </is>
      </c>
      <c r="H35" t="inlineStr">
        <is>
          <t>High / Commercial</t>
        </is>
      </c>
    </row>
    <row r="36">
      <c r="A36" t="inlineStr">
        <is>
          <t>suhana chicken curry masala</t>
        </is>
      </c>
      <c r="B36" t="n">
        <v>90</v>
      </c>
      <c r="C36" t="inlineStr">
        <is>
          <t>Yes</t>
        </is>
      </c>
      <c r="D36" t="inlineStr">
        <is>
          <t>Competitor</t>
        </is>
      </c>
      <c r="E36" t="inlineStr">
        <is>
          <t>Chicken Curry Masala Brands</t>
        </is>
      </c>
      <c r="F36" t="inlineStr">
        <is>
          <t>Competitor brand, chicken curry masala</t>
        </is>
      </c>
      <c r="G36" t="inlineStr">
        <is>
          <t>Competitor</t>
        </is>
      </c>
      <c r="H36" t="inlineStr">
        <is>
          <t>High / Commercial</t>
        </is>
      </c>
    </row>
    <row r="37">
      <c r="A37" t="inlineStr">
        <is>
          <t>jain thai curry paste</t>
        </is>
      </c>
      <c r="B37" t="n">
        <v>70</v>
      </c>
      <c r="C37" t="inlineStr">
        <is>
          <t>No</t>
        </is>
      </c>
      <c r="F37" t="inlineStr">
        <is>
          <t>Jain / no onion-garlic; CURRYiT contains onion &amp; garlic</t>
        </is>
      </c>
      <c r="G37" t="inlineStr">
        <is>
          <t>Generic</t>
        </is>
      </c>
      <c r="H37" t="inlineStr">
        <is>
          <t>High / Commercial</t>
        </is>
      </c>
    </row>
    <row r="38">
      <c r="A38" t="inlineStr">
        <is>
          <t>katsu curry paste</t>
        </is>
      </c>
      <c r="B38" t="n">
        <v>70</v>
      </c>
      <c r="C38" t="inlineStr">
        <is>
          <t>No</t>
        </is>
      </c>
      <c r="F38" t="inlineStr">
        <is>
          <t>Thai / foreign cuisine – wrong flavour for a Chettinad paste</t>
        </is>
      </c>
      <c r="G38" t="inlineStr">
        <is>
          <t>Generic</t>
        </is>
      </c>
      <c r="H38" t="inlineStr">
        <is>
          <t>High / Commercial</t>
        </is>
      </c>
    </row>
    <row r="39">
      <c r="A39" t="inlineStr">
        <is>
          <t>knorr thai curry paste</t>
        </is>
      </c>
      <c r="B39" t="n">
        <v>70</v>
      </c>
      <c r="C39" t="inlineStr">
        <is>
          <t>No</t>
        </is>
      </c>
      <c r="F39" t="inlineStr">
        <is>
          <t>Thai / foreign cuisine – wrong flavour for a Chettinad paste</t>
        </is>
      </c>
      <c r="G39" t="inlineStr">
        <is>
          <t>Competitor</t>
        </is>
      </c>
      <c r="H39" t="inlineStr">
        <is>
          <t>High / Commercial</t>
        </is>
      </c>
    </row>
    <row r="40">
      <c r="A40" t="inlineStr">
        <is>
          <t>namjai curry paste</t>
        </is>
      </c>
      <c r="B40" t="n">
        <v>70</v>
      </c>
      <c r="C40" t="inlineStr">
        <is>
          <t>No</t>
        </is>
      </c>
      <c r="F40" t="inlineStr">
        <is>
          <t>Thai / foreign cuisine – wrong flavour for a Chettinad paste</t>
        </is>
      </c>
      <c r="G40" t="inlineStr">
        <is>
          <t>Generic</t>
        </is>
      </c>
      <c r="H40" t="inlineStr">
        <is>
          <t>High / Commercial</t>
        </is>
      </c>
    </row>
    <row r="41">
      <c r="A41" t="inlineStr">
        <is>
          <t>namjai thai curry paste</t>
        </is>
      </c>
      <c r="B41" t="n">
        <v>70</v>
      </c>
      <c r="C41" t="inlineStr">
        <is>
          <t>No</t>
        </is>
      </c>
      <c r="F41" t="inlineStr">
        <is>
          <t>Thai / foreign cuisine – wrong flavour for a Chettinad paste</t>
        </is>
      </c>
      <c r="G41" t="inlineStr">
        <is>
          <t>Generic</t>
        </is>
      </c>
      <c r="H41" t="inlineStr">
        <is>
          <t>High / Commercial</t>
        </is>
      </c>
    </row>
    <row r="42">
      <c r="A42" t="inlineStr">
        <is>
          <t>non veg curry masala paste</t>
        </is>
      </c>
      <c r="B42" t="n">
        <v>70</v>
      </c>
      <c r="C42" t="inlineStr">
        <is>
          <t>Yes</t>
        </is>
      </c>
      <c r="D42" t="inlineStr">
        <is>
          <t>Generic</t>
        </is>
      </c>
      <c r="E42" t="inlineStr">
        <is>
          <t>Curry Paste / Ready to Cook</t>
        </is>
      </c>
      <c r="F42" t="inlineStr">
        <is>
          <t>Format match (paste / ready-to-cook)</t>
        </is>
      </c>
      <c r="G42" t="inlineStr">
        <is>
          <t>Generic</t>
        </is>
      </c>
      <c r="H42" t="inlineStr">
        <is>
          <t>High / Commercial</t>
        </is>
      </c>
    </row>
    <row r="43">
      <c r="A43" t="inlineStr">
        <is>
          <t>sakthi chettinad chicken masala</t>
        </is>
      </c>
      <c r="B43" t="n">
        <v>70</v>
      </c>
      <c r="C43" t="inlineStr">
        <is>
          <t>Yes</t>
        </is>
      </c>
      <c r="D43" t="inlineStr">
        <is>
          <t>Competitor</t>
        </is>
      </c>
      <c r="E43" t="inlineStr">
        <is>
          <t>Chettinad Competitors</t>
        </is>
      </c>
      <c r="F43" t="inlineStr">
        <is>
          <t>Competitor brand + Chettinad</t>
        </is>
      </c>
      <c r="G43" t="inlineStr">
        <is>
          <t>Generic</t>
        </is>
      </c>
      <c r="H43" t="inlineStr">
        <is>
          <t>High / Commercial</t>
        </is>
      </c>
    </row>
    <row r="44">
      <c r="A44" t="inlineStr">
        <is>
          <t>everest chicken curry masala</t>
        </is>
      </c>
      <c r="B44" t="n">
        <v>50</v>
      </c>
      <c r="C44" t="inlineStr">
        <is>
          <t>Yes</t>
        </is>
      </c>
      <c r="D44" t="inlineStr">
        <is>
          <t>Competitor</t>
        </is>
      </c>
      <c r="E44" t="inlineStr">
        <is>
          <t>Chicken Curry Masala Brands</t>
        </is>
      </c>
      <c r="F44" t="inlineStr">
        <is>
          <t>Competitor brand, chicken curry masala</t>
        </is>
      </c>
      <c r="G44" t="inlineStr">
        <is>
          <t>Competitor</t>
        </is>
      </c>
      <c r="H44" t="inlineStr">
        <is>
          <t>High / Commercial</t>
        </is>
      </c>
    </row>
    <row r="45">
      <c r="A45" t="inlineStr">
        <is>
          <t>laksa curry paste</t>
        </is>
      </c>
      <c r="B45" t="n">
        <v>50</v>
      </c>
      <c r="C45" t="inlineStr">
        <is>
          <t>No</t>
        </is>
      </c>
      <c r="F45" t="inlineStr">
        <is>
          <t>Thai / foreign cuisine – wrong flavour for a Chettinad paste</t>
        </is>
      </c>
      <c r="G45" t="inlineStr">
        <is>
          <t>Generic</t>
        </is>
      </c>
      <c r="H45" t="inlineStr">
        <is>
          <t>High / Commercial</t>
        </is>
      </c>
    </row>
    <row r="46">
      <c r="A46" t="inlineStr">
        <is>
          <t>rendang curry paste</t>
        </is>
      </c>
      <c r="B46" t="n">
        <v>50</v>
      </c>
      <c r="C46" t="inlineStr">
        <is>
          <t>No</t>
        </is>
      </c>
      <c r="F46" t="inlineStr">
        <is>
          <t>Thai / foreign cuisine – wrong flavour for a Chettinad paste</t>
        </is>
      </c>
      <c r="G46" t="inlineStr">
        <is>
          <t>Generic</t>
        </is>
      </c>
      <c r="H46" t="inlineStr">
        <is>
          <t>High / Commercial</t>
        </is>
      </c>
    </row>
    <row r="47">
      <c r="A47" t="inlineStr">
        <is>
          <t>thai green curry paste vegetarian</t>
        </is>
      </c>
      <c r="B47" t="n">
        <v>50</v>
      </c>
      <c r="C47" t="inlineStr">
        <is>
          <t>No</t>
        </is>
      </c>
      <c r="F47" t="inlineStr">
        <is>
          <t>Thai / foreign cuisine – wrong flavour for a Chettinad paste</t>
        </is>
      </c>
      <c r="G47" t="inlineStr">
        <is>
          <t>Generic</t>
        </is>
      </c>
      <c r="H47" t="inlineStr">
        <is>
          <t>High / Commercial</t>
        </is>
      </c>
    </row>
    <row r="48">
      <c r="A48" t="inlineStr">
        <is>
          <t>thai kitchen green curry paste</t>
        </is>
      </c>
      <c r="B48" t="n">
        <v>50</v>
      </c>
      <c r="C48" t="inlineStr">
        <is>
          <t>No</t>
        </is>
      </c>
      <c r="F48" t="inlineStr">
        <is>
          <t>Thai / foreign cuisine – wrong flavour for a Chettinad paste</t>
        </is>
      </c>
      <c r="G48" t="inlineStr">
        <is>
          <t>Competitor</t>
        </is>
      </c>
      <c r="H48" t="inlineStr">
        <is>
          <t>High / Commercial</t>
        </is>
      </c>
    </row>
    <row r="49">
      <c r="A49" t="inlineStr">
        <is>
          <t>zoff chicken curry masala</t>
        </is>
      </c>
      <c r="B49" t="n">
        <v>50</v>
      </c>
      <c r="C49" t="inlineStr">
        <is>
          <t>Yes</t>
        </is>
      </c>
      <c r="D49" t="inlineStr">
        <is>
          <t>Competitor</t>
        </is>
      </c>
      <c r="E49" t="inlineStr">
        <is>
          <t>Chicken Curry Masala Brands</t>
        </is>
      </c>
      <c r="F49" t="inlineStr">
        <is>
          <t>Competitor brand, chicken curry masala</t>
        </is>
      </c>
      <c r="G49" t="inlineStr">
        <is>
          <t>Generic</t>
        </is>
      </c>
      <c r="H49" t="inlineStr">
        <is>
          <t>High / Commercial</t>
        </is>
      </c>
    </row>
    <row r="50">
      <c r="A50" t="inlineStr">
        <is>
          <t>fish curry paste</t>
        </is>
      </c>
      <c r="B50" t="n">
        <v>40</v>
      </c>
      <c r="C50" t="inlineStr">
        <is>
          <t>No</t>
        </is>
      </c>
      <c r="F50" t="inlineStr">
        <is>
          <t>Other dish / other CURRYiT product – route elsewhere</t>
        </is>
      </c>
      <c r="G50" t="inlineStr">
        <is>
          <t>Generic</t>
        </is>
      </c>
      <c r="H50" t="inlineStr">
        <is>
          <t>High / Commercial</t>
        </is>
      </c>
    </row>
    <row r="51">
      <c r="A51" t="inlineStr">
        <is>
          <t>japanese curry paste</t>
        </is>
      </c>
      <c r="B51" t="n">
        <v>40</v>
      </c>
      <c r="C51" t="inlineStr">
        <is>
          <t>No</t>
        </is>
      </c>
      <c r="F51" t="inlineStr">
        <is>
          <t>Thai / foreign cuisine – wrong flavour for a Chettinad paste</t>
        </is>
      </c>
      <c r="G51" t="inlineStr">
        <is>
          <t>Generic</t>
        </is>
      </c>
      <c r="H51" t="inlineStr">
        <is>
          <t>High / Commercial</t>
        </is>
      </c>
    </row>
    <row r="52">
      <c r="A52" t="inlineStr">
        <is>
          <t>knorr green thai curry paste</t>
        </is>
      </c>
      <c r="B52" t="n">
        <v>40</v>
      </c>
      <c r="C52" t="inlineStr">
        <is>
          <t>No</t>
        </is>
      </c>
      <c r="F52" t="inlineStr">
        <is>
          <t>Thai / foreign cuisine – wrong flavour for a Chettinad paste</t>
        </is>
      </c>
      <c r="G52" t="inlineStr">
        <is>
          <t>Competitor</t>
        </is>
      </c>
      <c r="H52" t="inlineStr">
        <is>
          <t>High / Commercial</t>
        </is>
      </c>
    </row>
    <row r="53">
      <c r="A53" t="inlineStr">
        <is>
          <t>malaysian curry paste</t>
        </is>
      </c>
      <c r="B53" t="n">
        <v>40</v>
      </c>
      <c r="C53" t="inlineStr">
        <is>
          <t>No</t>
        </is>
      </c>
      <c r="F53" t="inlineStr">
        <is>
          <t>Thai / foreign cuisine – wrong flavour for a Chettinad paste</t>
        </is>
      </c>
      <c r="G53" t="inlineStr">
        <is>
          <t>Generic</t>
        </is>
      </c>
      <c r="H53" t="inlineStr">
        <is>
          <t>High / Commercial</t>
        </is>
      </c>
    </row>
    <row r="54">
      <c r="A54" t="inlineStr">
        <is>
          <t>ready to cook curry</t>
        </is>
      </c>
      <c r="B54" t="n">
        <v>40</v>
      </c>
      <c r="C54" t="inlineStr">
        <is>
          <t>Yes</t>
        </is>
      </c>
      <c r="D54" t="inlineStr">
        <is>
          <t>Generic</t>
        </is>
      </c>
      <c r="E54" t="inlineStr">
        <is>
          <t>Curry Paste / Ready to Cook</t>
        </is>
      </c>
      <c r="F54" t="inlineStr">
        <is>
          <t>Format match (paste / ready-to-cook)</t>
        </is>
      </c>
      <c r="G54" t="inlineStr">
        <is>
          <t>Generic</t>
        </is>
      </c>
      <c r="H54" t="inlineStr">
        <is>
          <t>High / Commercial</t>
        </is>
      </c>
    </row>
    <row r="55">
      <c r="A55" t="inlineStr">
        <is>
          <t>thai curry paste vegetarian</t>
        </is>
      </c>
      <c r="B55" t="n">
        <v>40</v>
      </c>
      <c r="C55" t="inlineStr">
        <is>
          <t>No</t>
        </is>
      </c>
      <c r="F55" t="inlineStr">
        <is>
          <t>Thai / foreign cuisine – wrong flavour for a Chettinad paste</t>
        </is>
      </c>
      <c r="G55" t="inlineStr">
        <is>
          <t>Generic</t>
        </is>
      </c>
      <c r="H55" t="inlineStr">
        <is>
          <t>High / Commercial</t>
        </is>
      </c>
    </row>
    <row r="56">
      <c r="A56" t="inlineStr">
        <is>
          <t>aachi chicken curry masala</t>
        </is>
      </c>
      <c r="B56" t="n">
        <v>30</v>
      </c>
      <c r="C56" t="inlineStr">
        <is>
          <t>Yes</t>
        </is>
      </c>
      <c r="D56" t="inlineStr">
        <is>
          <t>Competitor</t>
        </is>
      </c>
      <c r="E56" t="inlineStr">
        <is>
          <t>Chicken Curry Masala Brands</t>
        </is>
      </c>
      <c r="F56" t="inlineStr">
        <is>
          <t>Competitor brand, chicken curry masala</t>
        </is>
      </c>
      <c r="G56" t="inlineStr">
        <is>
          <t>Competitor</t>
        </is>
      </c>
      <c r="H56" t="inlineStr">
        <is>
          <t>High / Commercial</t>
        </is>
      </c>
    </row>
    <row r="57">
      <c r="A57" t="inlineStr">
        <is>
          <t>aachi curry leaf rice paste</t>
        </is>
      </c>
      <c r="B57" t="n">
        <v>30</v>
      </c>
      <c r="C57" t="inlineStr">
        <is>
          <t>No</t>
        </is>
      </c>
      <c r="F57" t="inlineStr">
        <is>
          <t>Pack size / diet / unrelated product</t>
        </is>
      </c>
      <c r="G57" t="inlineStr">
        <is>
          <t>Competitor</t>
        </is>
      </c>
      <c r="H57" t="inlineStr">
        <is>
          <t>High / Commercial</t>
        </is>
      </c>
    </row>
    <row r="58">
      <c r="A58" t="inlineStr">
        <is>
          <t>best thai curry paste</t>
        </is>
      </c>
      <c r="B58" t="n">
        <v>30</v>
      </c>
      <c r="C58" t="inlineStr">
        <is>
          <t>No</t>
        </is>
      </c>
      <c r="F58" t="inlineStr">
        <is>
          <t>Thai / foreign cuisine – wrong flavour for a Chettinad paste</t>
        </is>
      </c>
      <c r="G58" t="inlineStr">
        <is>
          <t>Generic</t>
        </is>
      </c>
      <c r="H58" t="inlineStr">
        <is>
          <t>High / Commercial</t>
        </is>
      </c>
    </row>
    <row r="59">
      <c r="A59" t="inlineStr">
        <is>
          <t>blue elephant green curry paste</t>
        </is>
      </c>
      <c r="B59" t="n">
        <v>30</v>
      </c>
      <c r="C59" t="inlineStr">
        <is>
          <t>No</t>
        </is>
      </c>
      <c r="F59" t="inlineStr">
        <is>
          <t>Thai / foreign cuisine – wrong flavour for a Chettinad paste</t>
        </is>
      </c>
      <c r="G59" t="inlineStr">
        <is>
          <t>Competitor</t>
        </is>
      </c>
      <c r="H59" t="inlineStr">
        <is>
          <t>High / Commercial</t>
        </is>
      </c>
    </row>
    <row r="60">
      <c r="A60" t="inlineStr">
        <is>
          <t>blue elephant thai green curry paste</t>
        </is>
      </c>
      <c r="B60" t="n">
        <v>30</v>
      </c>
      <c r="C60" t="inlineStr">
        <is>
          <t>No</t>
        </is>
      </c>
      <c r="F60" t="inlineStr">
        <is>
          <t>Thai / foreign cuisine – wrong flavour for a Chettinad paste</t>
        </is>
      </c>
      <c r="G60" t="inlineStr">
        <is>
          <t>Competitor</t>
        </is>
      </c>
      <c r="H60" t="inlineStr">
        <is>
          <t>High / Commercial</t>
        </is>
      </c>
    </row>
    <row r="61">
      <c r="A61" t="inlineStr">
        <is>
          <t>coconut paste for cooking</t>
        </is>
      </c>
      <c r="B61" t="n">
        <v>30</v>
      </c>
      <c r="C61" t="inlineStr">
        <is>
          <t>No</t>
        </is>
      </c>
      <c r="F61" t="inlineStr">
        <is>
          <t>Single-ingredient paste, not a curry</t>
        </is>
      </c>
      <c r="G61" t="inlineStr">
        <is>
          <t>Generic</t>
        </is>
      </c>
      <c r="H61" t="inlineStr">
        <is>
          <t>High / Commercial</t>
        </is>
      </c>
    </row>
    <row r="62">
      <c r="A62" t="inlineStr">
        <is>
          <t>itc master chef butter chicken cooking paste</t>
        </is>
      </c>
      <c r="B62" t="n">
        <v>30</v>
      </c>
      <c r="C62" t="inlineStr">
        <is>
          <t>No</t>
        </is>
      </c>
      <c r="F62" t="inlineStr">
        <is>
          <t>Other dish / other CURRYiT product – route elsewhere</t>
        </is>
      </c>
      <c r="G62" t="inlineStr">
        <is>
          <t>Competitor</t>
        </is>
      </c>
      <c r="H62" t="inlineStr">
        <is>
          <t>High / Commercial</t>
        </is>
      </c>
    </row>
    <row r="63">
      <c r="A63" t="inlineStr">
        <is>
          <t>mutton curry paste</t>
        </is>
      </c>
      <c r="B63" t="n">
        <v>30</v>
      </c>
      <c r="C63" t="inlineStr">
        <is>
          <t>Yes</t>
        </is>
      </c>
      <c r="D63" t="inlineStr">
        <is>
          <t>Generic</t>
        </is>
      </c>
      <c r="E63" t="inlineStr">
        <is>
          <t>Curry Paste / Ready to Cook</t>
        </is>
      </c>
      <c r="F63" t="inlineStr">
        <is>
          <t>Format match (paste / ready-to-cook)</t>
        </is>
      </c>
      <c r="G63" t="inlineStr">
        <is>
          <t>Generic</t>
        </is>
      </c>
      <c r="H63" t="inlineStr">
        <is>
          <t>High / Commercial</t>
        </is>
      </c>
    </row>
    <row r="64">
      <c r="A64" t="inlineStr">
        <is>
          <t>ready to cook chicken curry</t>
        </is>
      </c>
      <c r="B64" t="n">
        <v>30</v>
      </c>
      <c r="C64" t="inlineStr">
        <is>
          <t>Yes</t>
        </is>
      </c>
      <c r="D64" t="inlineStr">
        <is>
          <t>Generic</t>
        </is>
      </c>
      <c r="E64" t="inlineStr">
        <is>
          <t>Curry Paste / Ready to Cook</t>
        </is>
      </c>
      <c r="F64" t="inlineStr">
        <is>
          <t>Format match (paste / ready-to-cook)</t>
        </is>
      </c>
      <c r="G64" t="inlineStr">
        <is>
          <t>Generic</t>
        </is>
      </c>
      <c r="H64" t="inlineStr">
        <is>
          <t>High / Commercial</t>
        </is>
      </c>
    </row>
    <row r="65">
      <c r="A65" t="inlineStr">
        <is>
          <t>thai red curry paste vegan</t>
        </is>
      </c>
      <c r="B65" t="n">
        <v>30</v>
      </c>
      <c r="C65" t="inlineStr">
        <is>
          <t>No</t>
        </is>
      </c>
      <c r="F65" t="inlineStr">
        <is>
          <t>Thai / foreign cuisine – wrong flavour for a Chettinad paste</t>
        </is>
      </c>
      <c r="G65" t="inlineStr">
        <is>
          <t>Generic</t>
        </is>
      </c>
      <c r="H65" t="inlineStr">
        <is>
          <t>High / Commercial</t>
        </is>
      </c>
    </row>
    <row r="66">
      <c r="A66" t="inlineStr">
        <is>
          <t>thai red curry paste vegetarian</t>
        </is>
      </c>
      <c r="B66" t="n">
        <v>30</v>
      </c>
      <c r="C66" t="inlineStr">
        <is>
          <t>No</t>
        </is>
      </c>
      <c r="F66" t="inlineStr">
        <is>
          <t>Thai / foreign cuisine – wrong flavour for a Chettinad paste</t>
        </is>
      </c>
      <c r="G66" t="inlineStr">
        <is>
          <t>Generic</t>
        </is>
      </c>
      <c r="H66" t="inlineStr">
        <is>
          <t>High / Commercial</t>
        </is>
      </c>
    </row>
    <row r="67">
      <c r="A67" t="inlineStr">
        <is>
          <t>aachi chettinad chicken biryani masala</t>
        </is>
      </c>
      <c r="B67" t="n">
        <v>20</v>
      </c>
      <c r="C67" t="inlineStr">
        <is>
          <t>No</t>
        </is>
      </c>
      <c r="F67" t="inlineStr">
        <is>
          <t>Biryani – different dish</t>
        </is>
      </c>
      <c r="G67" t="inlineStr">
        <is>
          <t>Competitor</t>
        </is>
      </c>
      <c r="H67" t="inlineStr">
        <is>
          <t>High / Commercial</t>
        </is>
      </c>
    </row>
    <row r="68">
      <c r="A68" t="inlineStr">
        <is>
          <t>chettinad chicken biryani masala</t>
        </is>
      </c>
      <c r="B68" t="n">
        <v>20</v>
      </c>
      <c r="C68" t="inlineStr">
        <is>
          <t>No</t>
        </is>
      </c>
      <c r="F68" t="inlineStr">
        <is>
          <t>Biryani – different dish</t>
        </is>
      </c>
      <c r="G68" t="inlineStr">
        <is>
          <t>Generic</t>
        </is>
      </c>
      <c r="H68" t="inlineStr">
        <is>
          <t>High / Commercial</t>
        </is>
      </c>
    </row>
    <row r="69">
      <c r="A69" t="inlineStr">
        <is>
          <t>cooking pastes</t>
        </is>
      </c>
      <c r="B69" t="n">
        <v>20</v>
      </c>
      <c r="C69" t="inlineStr">
        <is>
          <t>Yes</t>
        </is>
      </c>
      <c r="D69" t="inlineStr">
        <is>
          <t>Generic</t>
        </is>
      </c>
      <c r="E69" t="inlineStr">
        <is>
          <t>Curry Paste / Ready to Cook</t>
        </is>
      </c>
      <c r="F69" t="inlineStr">
        <is>
          <t>Format match (paste / ready-to-cook)</t>
        </is>
      </c>
      <c r="G69" t="inlineStr">
        <is>
          <t>Generic</t>
        </is>
      </c>
      <c r="H69" t="inlineStr">
        <is>
          <t>High / Commercial</t>
        </is>
      </c>
    </row>
    <row r="70">
      <c r="A70" t="inlineStr">
        <is>
          <t>egg curry paste</t>
        </is>
      </c>
      <c r="B70" t="n">
        <v>20</v>
      </c>
      <c r="C70" t="inlineStr">
        <is>
          <t>No</t>
        </is>
      </c>
      <c r="F70" t="inlineStr">
        <is>
          <t>Other dish / other CURRYiT product – route elsewhere</t>
        </is>
      </c>
      <c r="G70" t="inlineStr">
        <is>
          <t>Generic</t>
        </is>
      </c>
      <c r="H70" t="inlineStr">
        <is>
          <t>High / Commercial</t>
        </is>
      </c>
    </row>
    <row r="71">
      <c r="A71" t="inlineStr">
        <is>
          <t>india gate chettinad chicken masala</t>
        </is>
      </c>
      <c r="B71" t="n">
        <v>20</v>
      </c>
      <c r="C71" t="inlineStr">
        <is>
          <t>Yes</t>
        </is>
      </c>
      <c r="D71" t="inlineStr">
        <is>
          <t>Competitor</t>
        </is>
      </c>
      <c r="E71" t="inlineStr">
        <is>
          <t>Chettinad Competitors</t>
        </is>
      </c>
      <c r="F71" t="inlineStr">
        <is>
          <t>Competitor brand + Chettinad</t>
        </is>
      </c>
      <c r="G71" t="inlineStr">
        <is>
          <t>Generic</t>
        </is>
      </c>
      <c r="H71" t="inlineStr">
        <is>
          <t>High / Commercial</t>
        </is>
      </c>
    </row>
    <row r="72">
      <c r="A72" t="inlineStr">
        <is>
          <t>india gate classic chettinad chicken masala</t>
        </is>
      </c>
      <c r="B72" t="n">
        <v>20</v>
      </c>
      <c r="C72" t="inlineStr">
        <is>
          <t>Yes</t>
        </is>
      </c>
      <c r="D72" t="inlineStr">
        <is>
          <t>Competitor</t>
        </is>
      </c>
      <c r="E72" t="inlineStr">
        <is>
          <t>Chettinad Competitors</t>
        </is>
      </c>
      <c r="F72" t="inlineStr">
        <is>
          <t>Competitor brand + Chettinad</t>
        </is>
      </c>
      <c r="G72" t="inlineStr">
        <is>
          <t>Generic</t>
        </is>
      </c>
      <c r="H72" t="inlineStr">
        <is>
          <t>High / Commercial</t>
        </is>
      </c>
    </row>
    <row r="73">
      <c r="A73" t="inlineStr">
        <is>
          <t>itc cooking paste</t>
        </is>
      </c>
      <c r="B73" t="n">
        <v>20</v>
      </c>
      <c r="C73" t="inlineStr">
        <is>
          <t>Yes</t>
        </is>
      </c>
      <c r="D73" t="inlineStr">
        <is>
          <t>Competitor</t>
        </is>
      </c>
      <c r="E73" t="inlineStr">
        <is>
          <t>Cooking Paste Brands</t>
        </is>
      </c>
      <c r="F73" t="inlineStr">
        <is>
          <t>Competitor brand, same paste format</t>
        </is>
      </c>
      <c r="G73" t="inlineStr">
        <is>
          <t>Competitor</t>
        </is>
      </c>
      <c r="H73" t="inlineStr">
        <is>
          <t>High / Commercial</t>
        </is>
      </c>
    </row>
    <row r="74">
      <c r="A74" t="inlineStr">
        <is>
          <t>itc master chef cooking paste</t>
        </is>
      </c>
      <c r="B74" t="n">
        <v>20</v>
      </c>
      <c r="C74" t="inlineStr">
        <is>
          <t>Yes</t>
        </is>
      </c>
      <c r="D74" t="inlineStr">
        <is>
          <t>Competitor</t>
        </is>
      </c>
      <c r="E74" t="inlineStr">
        <is>
          <t>Cooking Paste Brands</t>
        </is>
      </c>
      <c r="F74" t="inlineStr">
        <is>
          <t>Competitor brand, same paste format</t>
        </is>
      </c>
      <c r="G74" t="inlineStr">
        <is>
          <t>Competitor</t>
        </is>
      </c>
      <c r="H74" t="inlineStr">
        <is>
          <t>High / Commercial</t>
        </is>
      </c>
    </row>
    <row r="75">
      <c r="A75" t="inlineStr">
        <is>
          <t>khowsuey curry paste</t>
        </is>
      </c>
      <c r="B75" t="n">
        <v>20</v>
      </c>
      <c r="C75" t="inlineStr">
        <is>
          <t>No</t>
        </is>
      </c>
      <c r="F75" t="inlineStr">
        <is>
          <t>Thai / foreign cuisine – wrong flavour for a Chettinad paste</t>
        </is>
      </c>
      <c r="G75" t="inlineStr">
        <is>
          <t>Generic</t>
        </is>
      </c>
      <c r="H75" t="inlineStr">
        <is>
          <t>High / Commercial</t>
        </is>
      </c>
    </row>
    <row r="76">
      <c r="A76" t="inlineStr">
        <is>
          <t>lobo thai curry paste</t>
        </is>
      </c>
      <c r="B76" t="n">
        <v>20</v>
      </c>
      <c r="C76" t="inlineStr">
        <is>
          <t>No</t>
        </is>
      </c>
      <c r="F76" t="inlineStr">
        <is>
          <t>Thai / foreign cuisine – wrong flavour for a Chettinad paste</t>
        </is>
      </c>
      <c r="G76" t="inlineStr">
        <is>
          <t>Generic</t>
        </is>
      </c>
      <c r="H76" t="inlineStr">
        <is>
          <t>High / Commercial</t>
        </is>
      </c>
    </row>
    <row r="77">
      <c r="A77" t="inlineStr">
        <is>
          <t>mustard paste for cooking</t>
        </is>
      </c>
      <c r="B77" t="n">
        <v>20</v>
      </c>
      <c r="C77" t="inlineStr">
        <is>
          <t>No</t>
        </is>
      </c>
      <c r="F77" t="inlineStr">
        <is>
          <t>Single-ingredient paste, not a curry</t>
        </is>
      </c>
      <c r="G77" t="inlineStr">
        <is>
          <t>Generic</t>
        </is>
      </c>
      <c r="H77" t="inlineStr">
        <is>
          <t>High / Commercial</t>
        </is>
      </c>
    </row>
    <row r="78">
      <c r="A78" t="inlineStr">
        <is>
          <t>namjai yellow curry paste</t>
        </is>
      </c>
      <c r="B78" t="n">
        <v>20</v>
      </c>
      <c r="C78" t="inlineStr">
        <is>
          <t>No</t>
        </is>
      </c>
      <c r="F78" t="inlineStr">
        <is>
          <t>Thai / foreign cuisine – wrong flavour for a Chettinad paste</t>
        </is>
      </c>
      <c r="G78" t="inlineStr">
        <is>
          <t>Generic</t>
        </is>
      </c>
      <c r="H78" t="inlineStr">
        <is>
          <t>High / Commercial</t>
        </is>
      </c>
    </row>
    <row r="79">
      <c r="A79" t="inlineStr">
        <is>
          <t>priya non veg curry masala paste</t>
        </is>
      </c>
      <c r="B79" t="n">
        <v>20</v>
      </c>
      <c r="C79" t="inlineStr">
        <is>
          <t>Yes</t>
        </is>
      </c>
      <c r="D79" t="inlineStr">
        <is>
          <t>Competitor</t>
        </is>
      </c>
      <c r="E79" t="inlineStr">
        <is>
          <t>Cooking Paste Brands</t>
        </is>
      </c>
      <c r="F79" t="inlineStr">
        <is>
          <t>Competitor brand, same paste format</t>
        </is>
      </c>
      <c r="G79" t="inlineStr">
        <is>
          <t>Competitor</t>
        </is>
      </c>
      <c r="H79" t="inlineStr">
        <is>
          <t>High / Commercial</t>
        </is>
      </c>
    </row>
    <row r="80">
      <c r="A80" t="inlineStr">
        <is>
          <t>ready to cook curry paste</t>
        </is>
      </c>
      <c r="B80" t="n">
        <v>20</v>
      </c>
      <c r="C80" t="inlineStr">
        <is>
          <t>Yes</t>
        </is>
      </c>
      <c r="D80" t="inlineStr">
        <is>
          <t>Generic</t>
        </is>
      </c>
      <c r="E80" t="inlineStr">
        <is>
          <t>Curry Paste / Ready to Cook</t>
        </is>
      </c>
      <c r="F80" t="inlineStr">
        <is>
          <t>Format match (paste / ready-to-cook)</t>
        </is>
      </c>
      <c r="G80" t="inlineStr">
        <is>
          <t>Generic</t>
        </is>
      </c>
      <c r="H80" t="inlineStr">
        <is>
          <t>High / Commercial</t>
        </is>
      </c>
    </row>
    <row r="81">
      <c r="A81" t="inlineStr">
        <is>
          <t>ready to cook fish curry</t>
        </is>
      </c>
      <c r="B81" t="n">
        <v>20</v>
      </c>
      <c r="C81" t="inlineStr">
        <is>
          <t>No</t>
        </is>
      </c>
      <c r="F81" t="inlineStr">
        <is>
          <t>Other dish / other CURRYiT product – route elsewhere</t>
        </is>
      </c>
      <c r="G81" t="inlineStr">
        <is>
          <t>Generic</t>
        </is>
      </c>
      <c r="H81" t="inlineStr">
        <is>
          <t>High / Commercial</t>
        </is>
      </c>
    </row>
    <row r="82">
      <c r="A82" t="inlineStr">
        <is>
          <t>tom yum curry paste</t>
        </is>
      </c>
      <c r="B82" t="n">
        <v>20</v>
      </c>
      <c r="C82" t="inlineStr">
        <is>
          <t>No</t>
        </is>
      </c>
      <c r="F82" t="inlineStr">
        <is>
          <t>Thai / foreign cuisine – wrong flavour for a Chettinad paste</t>
        </is>
      </c>
      <c r="G82" t="inlineStr">
        <is>
          <t>Generic</t>
        </is>
      </c>
      <c r="H82" t="inlineStr">
        <is>
          <t>High / Commercial</t>
        </is>
      </c>
    </row>
    <row r="83">
      <c r="A83" t="inlineStr">
        <is>
          <t>aachi chettinad chicken masala</t>
        </is>
      </c>
      <c r="B83" t="n">
        <v>10</v>
      </c>
      <c r="C83" t="inlineStr">
        <is>
          <t>Yes</t>
        </is>
      </c>
      <c r="D83" t="inlineStr">
        <is>
          <t>Competitor</t>
        </is>
      </c>
      <c r="E83" t="inlineStr">
        <is>
          <t>Chettinad Competitors</t>
        </is>
      </c>
      <c r="F83" t="inlineStr">
        <is>
          <t>Competitor brand + Chettinad</t>
        </is>
      </c>
      <c r="G83" t="inlineStr">
        <is>
          <t>Competitor</t>
        </is>
      </c>
      <c r="H83" t="inlineStr">
        <is>
          <t>High / Commercial</t>
        </is>
      </c>
    </row>
    <row r="84">
      <c r="A84" t="inlineStr">
        <is>
          <t>aroy d thai curry paste</t>
        </is>
      </c>
      <c r="B84" t="n">
        <v>10</v>
      </c>
      <c r="C84" t="inlineStr">
        <is>
          <t>No</t>
        </is>
      </c>
      <c r="F84" t="inlineStr">
        <is>
          <t>Thai / foreign cuisine – wrong flavour for a Chettinad paste</t>
        </is>
      </c>
      <c r="G84" t="inlineStr">
        <is>
          <t>Generic</t>
        </is>
      </c>
      <c r="H84" t="inlineStr">
        <is>
          <t>High / Commercial</t>
        </is>
      </c>
    </row>
    <row r="85">
      <c r="A85" t="inlineStr">
        <is>
          <t>authentic thai green curry paste</t>
        </is>
      </c>
      <c r="B85" t="n">
        <v>10</v>
      </c>
      <c r="C85" t="inlineStr">
        <is>
          <t>No</t>
        </is>
      </c>
      <c r="F85" t="inlineStr">
        <is>
          <t>Thai / foreign cuisine – wrong flavour for a Chettinad paste</t>
        </is>
      </c>
      <c r="G85" t="inlineStr">
        <is>
          <t>Generic</t>
        </is>
      </c>
      <c r="H85" t="inlineStr">
        <is>
          <t>High / Commercial</t>
        </is>
      </c>
    </row>
    <row r="86">
      <c r="A86" t="inlineStr">
        <is>
          <t>ayam thai curry paste</t>
        </is>
      </c>
      <c r="B86" t="n">
        <v>10</v>
      </c>
      <c r="C86" t="inlineStr">
        <is>
          <t>No</t>
        </is>
      </c>
      <c r="F86" t="inlineStr">
        <is>
          <t>Thai / foreign cuisine – wrong flavour for a Chettinad paste</t>
        </is>
      </c>
      <c r="G86" t="inlineStr">
        <is>
          <t>Generic</t>
        </is>
      </c>
      <c r="H86" t="inlineStr">
        <is>
          <t>High / Commercial</t>
        </is>
      </c>
    </row>
    <row r="87">
      <c r="A87" t="inlineStr">
        <is>
          <t>black curry paste</t>
        </is>
      </c>
      <c r="B87" t="n">
        <v>10</v>
      </c>
      <c r="C87" t="inlineStr">
        <is>
          <t>No</t>
        </is>
      </c>
      <c r="F87" t="inlineStr">
        <is>
          <t>Thai / foreign cuisine – wrong flavour for a Chettinad paste</t>
        </is>
      </c>
      <c r="G87" t="inlineStr">
        <is>
          <t>Generic</t>
        </is>
      </c>
      <c r="H87" t="inlineStr">
        <is>
          <t>High / Commercial</t>
        </is>
      </c>
    </row>
    <row r="88">
      <c r="A88" t="inlineStr">
        <is>
          <t>blue dragon thai curry paste</t>
        </is>
      </c>
      <c r="B88" t="n">
        <v>10</v>
      </c>
      <c r="C88" t="inlineStr">
        <is>
          <t>No</t>
        </is>
      </c>
      <c r="F88" t="inlineStr">
        <is>
          <t>Thai / foreign cuisine – wrong flavour for a Chettinad paste</t>
        </is>
      </c>
      <c r="G88" t="inlineStr">
        <is>
          <t>Generic</t>
        </is>
      </c>
      <c r="H88" t="inlineStr">
        <is>
          <t>High / Commercial</t>
        </is>
      </c>
    </row>
    <row r="89">
      <c r="A89" t="inlineStr">
        <is>
          <t>blue dragon thai green curry paste</t>
        </is>
      </c>
      <c r="B89" t="n">
        <v>10</v>
      </c>
      <c r="C89" t="inlineStr">
        <is>
          <t>No</t>
        </is>
      </c>
      <c r="F89" t="inlineStr">
        <is>
          <t>Thai / foreign cuisine – wrong flavour for a Chettinad paste</t>
        </is>
      </c>
      <c r="G89" t="inlineStr">
        <is>
          <t>Generic</t>
        </is>
      </c>
      <c r="H89" t="inlineStr">
        <is>
          <t>High / Commercial</t>
        </is>
      </c>
    </row>
    <row r="90">
      <c r="A90" t="inlineStr">
        <is>
          <t>blue elephant red thai curry paste</t>
        </is>
      </c>
      <c r="B90" t="n">
        <v>10</v>
      </c>
      <c r="C90" t="inlineStr">
        <is>
          <t>No</t>
        </is>
      </c>
      <c r="F90" t="inlineStr">
        <is>
          <t>Thai / foreign cuisine – wrong flavour for a Chettinad paste</t>
        </is>
      </c>
      <c r="G90" t="inlineStr">
        <is>
          <t>Competitor</t>
        </is>
      </c>
      <c r="H90" t="inlineStr">
        <is>
          <t>High / Commercial</t>
        </is>
      </c>
    </row>
    <row r="91">
      <c r="A91" t="inlineStr">
        <is>
          <t>chettinad biryani masala paste</t>
        </is>
      </c>
      <c r="B91" t="n">
        <v>10</v>
      </c>
      <c r="C91" t="inlineStr">
        <is>
          <t>No</t>
        </is>
      </c>
      <c r="F91" t="inlineStr">
        <is>
          <t>Biryani – different dish</t>
        </is>
      </c>
      <c r="G91" t="inlineStr">
        <is>
          <t>Generic</t>
        </is>
      </c>
      <c r="H91" t="inlineStr">
        <is>
          <t>High / Commercial</t>
        </is>
      </c>
    </row>
    <row r="92">
      <c r="A92" t="inlineStr">
        <is>
          <t>chettinad kulambu masala powder</t>
        </is>
      </c>
      <c r="B92" t="n">
        <v>10</v>
      </c>
      <c r="C92" t="inlineStr">
        <is>
          <t>Yes</t>
        </is>
      </c>
      <c r="D92" t="inlineStr">
        <is>
          <t>Generic</t>
        </is>
      </c>
      <c r="E92" t="inlineStr">
        <is>
          <t>Chettinad</t>
        </is>
      </c>
      <c r="F92" t="inlineStr">
        <is>
          <t>Exact cuisine match</t>
        </is>
      </c>
      <c r="G92" t="inlineStr">
        <is>
          <t>Generic</t>
        </is>
      </c>
      <c r="H92" t="inlineStr">
        <is>
          <t>High / Commercial</t>
        </is>
      </c>
    </row>
    <row r="93">
      <c r="A93" t="inlineStr">
        <is>
          <t>chicken curry masala paste</t>
        </is>
      </c>
      <c r="B93" t="n">
        <v>10</v>
      </c>
      <c r="C93" t="inlineStr">
        <is>
          <t>Yes</t>
        </is>
      </c>
      <c r="D93" t="inlineStr">
        <is>
          <t>Generic</t>
        </is>
      </c>
      <c r="E93" t="inlineStr">
        <is>
          <t>Curry Paste / Ready to Cook</t>
        </is>
      </c>
      <c r="F93" t="inlineStr">
        <is>
          <t>Format match (paste / ready-to-cook)</t>
        </is>
      </c>
      <c r="G93" t="inlineStr">
        <is>
          <t>Generic</t>
        </is>
      </c>
      <c r="H93" t="inlineStr">
        <is>
          <t>High / Commercial</t>
        </is>
      </c>
    </row>
    <row r="94">
      <c r="A94" t="inlineStr">
        <is>
          <t>curry paste bottle</t>
        </is>
      </c>
      <c r="B94" t="n">
        <v>10</v>
      </c>
      <c r="C94" t="inlineStr">
        <is>
          <t>Yes</t>
        </is>
      </c>
      <c r="D94" t="inlineStr">
        <is>
          <t>Generic</t>
        </is>
      </c>
      <c r="E94" t="inlineStr">
        <is>
          <t>Curry Paste / Ready to Cook</t>
        </is>
      </c>
      <c r="F94" t="inlineStr">
        <is>
          <t>Format match (paste / ready-to-cook)</t>
        </is>
      </c>
      <c r="G94" t="inlineStr">
        <is>
          <t>Generic</t>
        </is>
      </c>
      <c r="H94" t="inlineStr">
        <is>
          <t>High / Commercial</t>
        </is>
      </c>
    </row>
    <row r="95">
      <c r="A95" t="inlineStr">
        <is>
          <t>dancing chef green curry paste</t>
        </is>
      </c>
      <c r="B95" t="n">
        <v>10</v>
      </c>
      <c r="C95" t="inlineStr">
        <is>
          <t>No</t>
        </is>
      </c>
      <c r="F95" t="inlineStr">
        <is>
          <t>Thai / foreign cuisine – wrong flavour for a Chettinad paste</t>
        </is>
      </c>
      <c r="G95" t="inlineStr">
        <is>
          <t>Generic</t>
        </is>
      </c>
      <c r="H95" t="inlineStr">
        <is>
          <t>High / Commercial</t>
        </is>
      </c>
    </row>
    <row r="96">
      <c r="A96" t="inlineStr">
        <is>
          <t>ferns curry paste</t>
        </is>
      </c>
      <c r="B96" t="n">
        <v>10</v>
      </c>
      <c r="C96" t="inlineStr">
        <is>
          <t>No</t>
        </is>
      </c>
      <c r="F96" t="inlineStr">
        <is>
          <t>Unclear brand/intent – verify before using</t>
        </is>
      </c>
      <c r="G96" t="inlineStr">
        <is>
          <t>Generic</t>
        </is>
      </c>
      <c r="H96" t="inlineStr">
        <is>
          <t>High / Commercial</t>
        </is>
      </c>
    </row>
    <row r="97">
      <c r="A97" t="inlineStr">
        <is>
          <t>ferns hot curry paste</t>
        </is>
      </c>
      <c r="B97" t="n">
        <v>10</v>
      </c>
      <c r="C97" t="inlineStr">
        <is>
          <t>No</t>
        </is>
      </c>
      <c r="F97" t="inlineStr">
        <is>
          <t>Unclear brand/intent – verify before using</t>
        </is>
      </c>
      <c r="G97" t="inlineStr">
        <is>
          <t>Generic</t>
        </is>
      </c>
      <c r="H97" t="inlineStr">
        <is>
          <t>High / Commercial</t>
        </is>
      </c>
    </row>
    <row r="98">
      <c r="A98" t="inlineStr">
        <is>
          <t>goan fish curry paste</t>
        </is>
      </c>
      <c r="B98" t="n">
        <v>10</v>
      </c>
      <c r="C98" t="inlineStr">
        <is>
          <t>No</t>
        </is>
      </c>
      <c r="F98" t="inlineStr">
        <is>
          <t>Other dish / other CURRYiT product – route elsewhere</t>
        </is>
      </c>
      <c r="G98" t="inlineStr">
        <is>
          <t>Generic</t>
        </is>
      </c>
      <c r="H98" t="inlineStr">
        <is>
          <t>High / Commercial</t>
        </is>
      </c>
    </row>
    <row r="99">
      <c r="A99" t="inlineStr">
        <is>
          <t>indonesian curry paste</t>
        </is>
      </c>
      <c r="B99" t="n">
        <v>10</v>
      </c>
      <c r="C99" t="inlineStr">
        <is>
          <t>No</t>
        </is>
      </c>
      <c r="F99" t="inlineStr">
        <is>
          <t>Thai / foreign cuisine – wrong flavour for a Chettinad paste</t>
        </is>
      </c>
      <c r="G99" t="inlineStr">
        <is>
          <t>Generic</t>
        </is>
      </c>
      <c r="H99" t="inlineStr">
        <is>
          <t>High / Commercial</t>
        </is>
      </c>
    </row>
    <row r="100">
      <c r="A100" t="inlineStr">
        <is>
          <t>instant chicken curry masala</t>
        </is>
      </c>
      <c r="B100" t="n">
        <v>10</v>
      </c>
      <c r="C100" t="inlineStr">
        <is>
          <t>Yes</t>
        </is>
      </c>
      <c r="D100" t="inlineStr">
        <is>
          <t>Generic</t>
        </is>
      </c>
      <c r="E100" t="inlineStr">
        <is>
          <t>Chicken Curry Masala</t>
        </is>
      </c>
      <c r="F100" t="inlineStr">
        <is>
          <t>Same cooking need (chicken curry)</t>
        </is>
      </c>
      <c r="G100" t="inlineStr">
        <is>
          <t>Generic</t>
        </is>
      </c>
      <c r="H100" t="inlineStr">
        <is>
          <t>High / Commercial</t>
        </is>
      </c>
    </row>
    <row r="101">
      <c r="A101" t="inlineStr">
        <is>
          <t>instant curry paste</t>
        </is>
      </c>
      <c r="B101" t="n">
        <v>10</v>
      </c>
      <c r="C101" t="inlineStr">
        <is>
          <t>Yes</t>
        </is>
      </c>
      <c r="D101" t="inlineStr">
        <is>
          <t>Generic</t>
        </is>
      </c>
      <c r="E101" t="inlineStr">
        <is>
          <t>Curry Paste / Ready to Cook</t>
        </is>
      </c>
      <c r="F101" t="inlineStr">
        <is>
          <t>Format match (paste / ready-to-cook)</t>
        </is>
      </c>
      <c r="G101" t="inlineStr">
        <is>
          <t>Generic</t>
        </is>
      </c>
      <c r="H101" t="inlineStr">
        <is>
          <t>High / Commercial</t>
        </is>
      </c>
    </row>
    <row r="102">
      <c r="A102" t="inlineStr">
        <is>
          <t>itc masterchef cooking paste</t>
        </is>
      </c>
      <c r="B102" t="n">
        <v>10</v>
      </c>
      <c r="C102" t="inlineStr">
        <is>
          <t>Yes</t>
        </is>
      </c>
      <c r="D102" t="inlineStr">
        <is>
          <t>Competitor</t>
        </is>
      </c>
      <c r="E102" t="inlineStr">
        <is>
          <t>Cooking Paste Brands</t>
        </is>
      </c>
      <c r="F102" t="inlineStr">
        <is>
          <t>Competitor brand, same paste format</t>
        </is>
      </c>
      <c r="G102" t="inlineStr">
        <is>
          <t>Competitor</t>
        </is>
      </c>
      <c r="H102" t="inlineStr">
        <is>
          <t>High / Commercial</t>
        </is>
      </c>
    </row>
    <row r="103">
      <c r="A103" t="inlineStr">
        <is>
          <t>khao suey curry paste</t>
        </is>
      </c>
      <c r="B103" t="n">
        <v>10</v>
      </c>
      <c r="C103" t="inlineStr">
        <is>
          <t>No</t>
        </is>
      </c>
      <c r="F103" t="inlineStr">
        <is>
          <t>Thai / foreign cuisine – wrong flavour for a Chettinad paste</t>
        </is>
      </c>
      <c r="G103" t="inlineStr">
        <is>
          <t>Generic</t>
        </is>
      </c>
      <c r="H103" t="inlineStr">
        <is>
          <t>High / Commercial</t>
        </is>
      </c>
    </row>
    <row r="104">
      <c r="A104" t="inlineStr">
        <is>
          <t>korean cooking paste</t>
        </is>
      </c>
      <c r="B104" t="n">
        <v>10</v>
      </c>
      <c r="C104" t="inlineStr">
        <is>
          <t>No</t>
        </is>
      </c>
      <c r="F104" t="inlineStr">
        <is>
          <t>Thai / foreign cuisine – wrong flavour for a Chettinad paste</t>
        </is>
      </c>
      <c r="G104" t="inlineStr">
        <is>
          <t>Generic</t>
        </is>
      </c>
      <c r="H104" t="inlineStr">
        <is>
          <t>High / Commercial</t>
        </is>
      </c>
    </row>
    <row r="105">
      <c r="A105" t="inlineStr">
        <is>
          <t>lobo thai green curry paste</t>
        </is>
      </c>
      <c r="B105" t="n">
        <v>10</v>
      </c>
      <c r="C105" t="inlineStr">
        <is>
          <t>No</t>
        </is>
      </c>
      <c r="F105" t="inlineStr">
        <is>
          <t>Thai / foreign cuisine – wrong flavour for a Chettinad paste</t>
        </is>
      </c>
      <c r="G105" t="inlineStr">
        <is>
          <t>Generic</t>
        </is>
      </c>
      <c r="H105" t="inlineStr">
        <is>
          <t>High / Commercial</t>
        </is>
      </c>
    </row>
    <row r="106">
      <c r="A106" t="inlineStr">
        <is>
          <t>mint paste for cooking</t>
        </is>
      </c>
      <c r="B106" t="n">
        <v>10</v>
      </c>
      <c r="C106" t="inlineStr">
        <is>
          <t>No</t>
        </is>
      </c>
      <c r="F106" t="inlineStr">
        <is>
          <t>Single-ingredient paste, not a curry</t>
        </is>
      </c>
      <c r="G106" t="inlineStr">
        <is>
          <t>Generic</t>
        </is>
      </c>
      <c r="H106" t="inlineStr">
        <is>
          <t>High / Commercial</t>
        </is>
      </c>
    </row>
    <row r="107">
      <c r="A107" t="inlineStr">
        <is>
          <t>organic red thai curry paste</t>
        </is>
      </c>
      <c r="B107" t="n">
        <v>10</v>
      </c>
      <c r="C107" t="inlineStr">
        <is>
          <t>No</t>
        </is>
      </c>
      <c r="F107" t="inlineStr">
        <is>
          <t>Pack size / diet / unrelated product</t>
        </is>
      </c>
      <c r="G107" t="inlineStr">
        <is>
          <t>Generic</t>
        </is>
      </c>
      <c r="H107" t="inlineStr">
        <is>
          <t>High / Commercial</t>
        </is>
      </c>
    </row>
    <row r="108">
      <c r="A108" t="inlineStr">
        <is>
          <t>roopak chicken curry masala</t>
        </is>
      </c>
      <c r="B108" t="n">
        <v>10</v>
      </c>
      <c r="C108" t="inlineStr">
        <is>
          <t>Yes</t>
        </is>
      </c>
      <c r="D108" t="inlineStr">
        <is>
          <t>Competitor</t>
        </is>
      </c>
      <c r="E108" t="inlineStr">
        <is>
          <t>Chicken Curry Masala Brands</t>
        </is>
      </c>
      <c r="F108" t="inlineStr">
        <is>
          <t>Competitor brand, chicken curry masala</t>
        </is>
      </c>
      <c r="G108" t="inlineStr">
        <is>
          <t>Generic</t>
        </is>
      </c>
      <c r="H108" t="inlineStr">
        <is>
          <t>High / Commercial</t>
        </is>
      </c>
    </row>
    <row r="109">
      <c r="A109" t="inlineStr">
        <is>
          <t>shan chicken curry masala</t>
        </is>
      </c>
      <c r="B109" t="n">
        <v>10</v>
      </c>
      <c r="C109" t="inlineStr">
        <is>
          <t>Yes</t>
        </is>
      </c>
      <c r="D109" t="inlineStr">
        <is>
          <t>Competitor</t>
        </is>
      </c>
      <c r="E109" t="inlineStr">
        <is>
          <t>Chicken Curry Masala Brands</t>
        </is>
      </c>
      <c r="F109" t="inlineStr">
        <is>
          <t>Competitor brand, chicken curry masala</t>
        </is>
      </c>
      <c r="G109" t="inlineStr">
        <is>
          <t>Competitor</t>
        </is>
      </c>
      <c r="H109" t="inlineStr">
        <is>
          <t>High / Commercial</t>
        </is>
      </c>
    </row>
    <row r="110">
      <c r="A110" t="inlineStr">
        <is>
          <t>singapore curry paste</t>
        </is>
      </c>
      <c r="B110" t="n">
        <v>10</v>
      </c>
      <c r="C110" t="inlineStr">
        <is>
          <t>No</t>
        </is>
      </c>
      <c r="F110" t="inlineStr">
        <is>
          <t>Thai / foreign cuisine – wrong flavour for a Chettinad paste</t>
        </is>
      </c>
      <c r="G110" t="inlineStr">
        <is>
          <t>Generic</t>
        </is>
      </c>
      <c r="H110" t="inlineStr">
        <is>
          <t>High / Commercial</t>
        </is>
      </c>
    </row>
    <row r="111">
      <c r="A111" t="inlineStr">
        <is>
          <t>spicy chicken curry masala</t>
        </is>
      </c>
      <c r="B111" t="n">
        <v>10</v>
      </c>
      <c r="C111" t="inlineStr">
        <is>
          <t>Yes</t>
        </is>
      </c>
      <c r="D111" t="inlineStr">
        <is>
          <t>Generic</t>
        </is>
      </c>
      <c r="E111" t="inlineStr">
        <is>
          <t>Chicken Curry Masala</t>
        </is>
      </c>
      <c r="F111" t="inlineStr">
        <is>
          <t>Same cooking need (chicken curry)</t>
        </is>
      </c>
      <c r="G111" t="inlineStr">
        <is>
          <t>Generic</t>
        </is>
      </c>
      <c r="H111" t="inlineStr">
        <is>
          <t>High / Commercial</t>
        </is>
      </c>
    </row>
    <row r="112">
      <c r="A112" t="inlineStr">
        <is>
          <t>tamarind paste for cooking</t>
        </is>
      </c>
      <c r="B112" t="n">
        <v>10</v>
      </c>
      <c r="C112" t="inlineStr">
        <is>
          <t>No</t>
        </is>
      </c>
      <c r="F112" t="inlineStr">
        <is>
          <t>Single-ingredient paste, not a curry</t>
        </is>
      </c>
      <c r="G112" t="inlineStr">
        <is>
          <t>Generic</t>
        </is>
      </c>
      <c r="H112" t="inlineStr">
        <is>
          <t>High / Commercial</t>
        </is>
      </c>
    </row>
    <row r="113">
      <c r="A113" t="inlineStr">
        <is>
          <t>tomato paste for cooking</t>
        </is>
      </c>
      <c r="B113" t="n">
        <v>10</v>
      </c>
      <c r="C113" t="inlineStr">
        <is>
          <t>No</t>
        </is>
      </c>
      <c r="F113" t="inlineStr">
        <is>
          <t>Single-ingredient paste, not a curry</t>
        </is>
      </c>
      <c r="G113" t="inlineStr">
        <is>
          <t>Generic</t>
        </is>
      </c>
      <c r="H113" t="inlineStr">
        <is>
          <t>High / Commercial</t>
        </is>
      </c>
    </row>
    <row r="114">
      <c r="A114" t="inlineStr">
        <is>
          <t>urban platter thai curry paste</t>
        </is>
      </c>
      <c r="B114" t="n">
        <v>10</v>
      </c>
      <c r="C114" t="inlineStr">
        <is>
          <t>No</t>
        </is>
      </c>
      <c r="F114" t="inlineStr">
        <is>
          <t>Thai / foreign cuisine – wrong flavour for a Chettinad paste</t>
        </is>
      </c>
      <c r="G114" t="inlineStr">
        <is>
          <t>Generic</t>
        </is>
      </c>
      <c r="H114" t="inlineStr">
        <is>
          <t>High / Commercial</t>
        </is>
      </c>
    </row>
    <row r="115">
      <c r="A115" t="inlineStr">
        <is>
          <t>veg thai green curry paste</t>
        </is>
      </c>
      <c r="B115" t="n">
        <v>10</v>
      </c>
      <c r="C115" t="inlineStr">
        <is>
          <t>No</t>
        </is>
      </c>
      <c r="F115" t="inlineStr">
        <is>
          <t>Thai / foreign cuisine – wrong flavour for a Chettinad paste</t>
        </is>
      </c>
      <c r="G115" t="inlineStr">
        <is>
          <t>Generic</t>
        </is>
      </c>
      <c r="H115" t="inlineStr">
        <is>
          <t>High / Commercial</t>
        </is>
      </c>
    </row>
    <row r="116">
      <c r="A116" t="inlineStr">
        <is>
          <t>8 oz 227 g</t>
        </is>
      </c>
      <c r="C116" t="inlineStr">
        <is>
          <t>No</t>
        </is>
      </c>
      <c r="F116" t="inlineStr">
        <is>
          <t>Pack size / diet / unrelated product</t>
        </is>
      </c>
      <c r="G116" t="inlineStr">
        <is>
          <t>Generic</t>
        </is>
      </c>
      <c r="H116" t="inlineStr">
        <is>
          <t>Generic / Mixed</t>
        </is>
      </c>
    </row>
    <row r="117">
      <c r="A117" t="inlineStr">
        <is>
          <t>aachi chettinad masala</t>
        </is>
      </c>
      <c r="C117" t="inlineStr">
        <is>
          <t>Yes</t>
        </is>
      </c>
      <c r="D117" t="inlineStr">
        <is>
          <t>Competitor</t>
        </is>
      </c>
      <c r="E117" t="inlineStr">
        <is>
          <t>Chettinad Competitors</t>
        </is>
      </c>
      <c r="F117" t="inlineStr">
        <is>
          <t>Competitor brand + Chettinad</t>
        </is>
      </c>
      <c r="G117" t="inlineStr">
        <is>
          <t>Competitor</t>
        </is>
      </c>
      <c r="H117" t="inlineStr">
        <is>
          <t>High / Commercial</t>
        </is>
      </c>
    </row>
    <row r="118">
      <c r="A118" t="inlineStr">
        <is>
          <t>amashaa masala ready to cook red curry</t>
        </is>
      </c>
      <c r="C118" t="inlineStr">
        <is>
          <t>No</t>
        </is>
      </c>
      <c r="F118" t="inlineStr">
        <is>
          <t>Thai / foreign cuisine – wrong flavour for a Chettinad paste</t>
        </is>
      </c>
      <c r="G118" t="inlineStr">
        <is>
          <t>Generic</t>
        </is>
      </c>
      <c r="H118" t="inlineStr">
        <is>
          <t>High / Commercial</t>
        </is>
      </c>
    </row>
    <row r="119">
      <c r="A119" t="inlineStr">
        <is>
          <t>andhra chicken curry masala</t>
        </is>
      </c>
      <c r="C119" t="inlineStr">
        <is>
          <t>No</t>
        </is>
      </c>
      <c r="F119" t="inlineStr">
        <is>
          <t>Other regional chicken masala – test only, not core</t>
        </is>
      </c>
      <c r="G119" t="inlineStr">
        <is>
          <t>Generic</t>
        </is>
      </c>
      <c r="H119" t="inlineStr">
        <is>
          <t>High / Commercial</t>
        </is>
      </c>
    </row>
    <row r="120">
      <c r="A120" t="inlineStr">
        <is>
          <t>andhra mutton curry masala paste</t>
        </is>
      </c>
      <c r="C120" t="inlineStr">
        <is>
          <t>No</t>
        </is>
      </c>
      <c r="F120" t="inlineStr">
        <is>
          <t>Other dish / other CURRYiT product – route elsewhere</t>
        </is>
      </c>
      <c r="G120" t="inlineStr">
        <is>
          <t>Generic</t>
        </is>
      </c>
      <c r="H120" t="inlineStr">
        <is>
          <t>High / Commercial</t>
        </is>
      </c>
    </row>
    <row r="121">
      <c r="A121" t="inlineStr">
        <is>
          <t>bengali chicken curry masala</t>
        </is>
      </c>
      <c r="C121" t="inlineStr">
        <is>
          <t>No</t>
        </is>
      </c>
      <c r="F121" t="inlineStr">
        <is>
          <t>Other regional chicken masala – test only, not core</t>
        </is>
      </c>
      <c r="G121" t="inlineStr">
        <is>
          <t>Generic</t>
        </is>
      </c>
      <c r="H121" t="inlineStr">
        <is>
          <t>High / Commercial</t>
        </is>
      </c>
    </row>
    <row r="122">
      <c r="A122" t="inlineStr">
        <is>
          <t>bengali mustard paste for cooking</t>
        </is>
      </c>
      <c r="C122" t="inlineStr">
        <is>
          <t>No</t>
        </is>
      </c>
      <c r="F122" t="inlineStr">
        <is>
          <t>Single-ingredient paste, not a curry</t>
        </is>
      </c>
      <c r="G122" t="inlineStr">
        <is>
          <t>Generic</t>
        </is>
      </c>
      <c r="H122" t="inlineStr">
        <is>
          <t>High / Commercial</t>
        </is>
      </c>
    </row>
    <row r="123">
      <c r="A123" t="inlineStr">
        <is>
          <t>bengali mustard paste packet by emamifor cooking</t>
        </is>
      </c>
      <c r="C123" t="inlineStr">
        <is>
          <t>No</t>
        </is>
      </c>
      <c r="F123" t="inlineStr">
        <is>
          <t>Single-ingredient paste, not a curry</t>
        </is>
      </c>
      <c r="G123" t="inlineStr">
        <is>
          <t>Generic</t>
        </is>
      </c>
      <c r="H123" t="inlineStr">
        <is>
          <t>High / Commercial</t>
        </is>
      </c>
    </row>
    <row r="124">
      <c r="A124" t="inlineStr">
        <is>
          <t>butter chicken cooking paste</t>
        </is>
      </c>
      <c r="C124" t="inlineStr">
        <is>
          <t>No</t>
        </is>
      </c>
      <c r="F124" t="inlineStr">
        <is>
          <t>Other dish / other CURRYiT product – route elsewhere</t>
        </is>
      </c>
      <c r="G124" t="inlineStr">
        <is>
          <t>Generic</t>
        </is>
      </c>
      <c r="H124" t="inlineStr">
        <is>
          <t>High / Commercial</t>
        </is>
      </c>
    </row>
    <row r="125">
      <c r="A125" t="inlineStr">
        <is>
          <t>chettinad biryani rice mix masala</t>
        </is>
      </c>
      <c r="C125" t="inlineStr">
        <is>
          <t>No</t>
        </is>
      </c>
      <c r="F125" t="inlineStr">
        <is>
          <t>Biryani – different dish</t>
        </is>
      </c>
      <c r="G125" t="inlineStr">
        <is>
          <t>Generic</t>
        </is>
      </c>
      <c r="H125" t="inlineStr">
        <is>
          <t>High / Commercial</t>
        </is>
      </c>
    </row>
    <row r="126">
      <c r="A126" t="inlineStr">
        <is>
          <t>chettinad masala dry</t>
        </is>
      </c>
      <c r="C126" t="inlineStr">
        <is>
          <t>Yes</t>
        </is>
      </c>
      <c r="D126" t="inlineStr">
        <is>
          <t>Generic</t>
        </is>
      </c>
      <c r="E126" t="inlineStr">
        <is>
          <t>Chettinad</t>
        </is>
      </c>
      <c r="F126" t="inlineStr">
        <is>
          <t>Exact cuisine match</t>
        </is>
      </c>
      <c r="G126" t="inlineStr">
        <is>
          <t>Generic</t>
        </is>
      </c>
      <c r="H126" t="inlineStr">
        <is>
          <t>High / Commercial</t>
        </is>
      </c>
    </row>
    <row r="127">
      <c r="A127" t="inlineStr">
        <is>
          <t>chettinad masala mtr</t>
        </is>
      </c>
      <c r="C127" t="inlineStr">
        <is>
          <t>Yes</t>
        </is>
      </c>
      <c r="D127" t="inlineStr">
        <is>
          <t>Competitor</t>
        </is>
      </c>
      <c r="E127" t="inlineStr">
        <is>
          <t>Chettinad Competitors</t>
        </is>
      </c>
      <c r="F127" t="inlineStr">
        <is>
          <t>Competitor brand + Chettinad</t>
        </is>
      </c>
      <c r="G127" t="inlineStr">
        <is>
          <t>Competitor</t>
        </is>
      </c>
      <c r="H127" t="inlineStr">
        <is>
          <t>High / Commercial</t>
        </is>
      </c>
    </row>
    <row r="128">
      <c r="A128" t="inlineStr">
        <is>
          <t>chettinad masala tamil nadu</t>
        </is>
      </c>
      <c r="C128" t="inlineStr">
        <is>
          <t>Yes</t>
        </is>
      </c>
      <c r="D128" t="inlineStr">
        <is>
          <t>Generic</t>
        </is>
      </c>
      <c r="E128" t="inlineStr">
        <is>
          <t>Chettinad</t>
        </is>
      </c>
      <c r="F128" t="inlineStr">
        <is>
          <t>Exact cuisine match</t>
        </is>
      </c>
      <c r="G128" t="inlineStr">
        <is>
          <t>Generic</t>
        </is>
      </c>
      <c r="H128" t="inlineStr">
        <is>
          <t>High / Commercial</t>
        </is>
      </c>
    </row>
    <row r="129">
      <c r="A129" t="inlineStr">
        <is>
          <t>chicken curry masala 1 kg</t>
        </is>
      </c>
      <c r="C129" t="inlineStr">
        <is>
          <t>No</t>
        </is>
      </c>
      <c r="F129" t="inlineStr">
        <is>
          <t>Pack size / diet / unrelated product</t>
        </is>
      </c>
      <c r="G129" t="inlineStr">
        <is>
          <t>Generic</t>
        </is>
      </c>
      <c r="H129" t="inlineStr">
        <is>
          <t>High / Commercial</t>
        </is>
      </c>
    </row>
    <row r="130">
      <c r="A130" t="inlineStr">
        <is>
          <t>chicken curry masala 500gm</t>
        </is>
      </c>
      <c r="C130" t="inlineStr">
        <is>
          <t>No</t>
        </is>
      </c>
      <c r="F130" t="inlineStr">
        <is>
          <t>Pack size / diet / unrelated product</t>
        </is>
      </c>
      <c r="G130" t="inlineStr">
        <is>
          <t>Generic</t>
        </is>
      </c>
      <c r="H130" t="inlineStr">
        <is>
          <t>High / Commercial</t>
        </is>
      </c>
    </row>
    <row r="131">
      <c r="A131" t="inlineStr">
        <is>
          <t>chicken curry masala organic</t>
        </is>
      </c>
      <c r="C131" t="inlineStr">
        <is>
          <t>No</t>
        </is>
      </c>
      <c r="F131" t="inlineStr">
        <is>
          <t>Pack size / diet / unrelated product</t>
        </is>
      </c>
      <c r="G131" t="inlineStr">
        <is>
          <t>Generic</t>
        </is>
      </c>
      <c r="H131" t="inlineStr">
        <is>
          <t>High / Commercial</t>
        </is>
      </c>
    </row>
    <row r="132">
      <c r="A132" t="inlineStr">
        <is>
          <t>chicken curry paste ready to cook</t>
        </is>
      </c>
      <c r="C132" t="inlineStr">
        <is>
          <t>Yes</t>
        </is>
      </c>
      <c r="D132" t="inlineStr">
        <is>
          <t>Generic</t>
        </is>
      </c>
      <c r="E132" t="inlineStr">
        <is>
          <t>Curry Paste / Ready to Cook</t>
        </is>
      </c>
      <c r="F132" t="inlineStr">
        <is>
          <t>Format match (paste / ready-to-cook)</t>
        </is>
      </c>
      <c r="G132" t="inlineStr">
        <is>
          <t>Generic</t>
        </is>
      </c>
      <c r="H132" t="inlineStr">
        <is>
          <t>High / Commercial</t>
        </is>
      </c>
    </row>
    <row r="133">
      <c r="A133" t="inlineStr">
        <is>
          <t>chilli garlic paste for indian cooking</t>
        </is>
      </c>
      <c r="C133" t="inlineStr">
        <is>
          <t>No</t>
        </is>
      </c>
      <c r="F133" t="inlineStr">
        <is>
          <t>Single-ingredient paste, not a curry</t>
        </is>
      </c>
      <c r="G133" t="inlineStr">
        <is>
          <t>Generic</t>
        </is>
      </c>
      <c r="H133" t="inlineStr">
        <is>
          <t>High / Commercial</t>
        </is>
      </c>
    </row>
    <row r="134">
      <c r="A134" t="inlineStr">
        <is>
          <t>chilli paste for cooking</t>
        </is>
      </c>
      <c r="C134" t="inlineStr">
        <is>
          <t>No</t>
        </is>
      </c>
      <c r="F134" t="inlineStr">
        <is>
          <t>Single-ingredient paste, not a curry</t>
        </is>
      </c>
      <c r="G134" t="inlineStr">
        <is>
          <t>Generic</t>
        </is>
      </c>
      <c r="H134" t="inlineStr">
        <is>
          <t>High / Commercial</t>
        </is>
      </c>
    </row>
    <row r="135">
      <c r="A135" t="inlineStr">
        <is>
          <t>coconut paste for cooking thai food</t>
        </is>
      </c>
      <c r="C135" t="inlineStr">
        <is>
          <t>No</t>
        </is>
      </c>
      <c r="F135" t="inlineStr">
        <is>
          <t>Thai / foreign cuisine – wrong flavour for a Chettinad paste</t>
        </is>
      </c>
      <c r="G135" t="inlineStr">
        <is>
          <t>Generic</t>
        </is>
      </c>
      <c r="H135" t="inlineStr">
        <is>
          <t>High / Commercial</t>
        </is>
      </c>
    </row>
    <row r="136">
      <c r="A136" t="inlineStr">
        <is>
          <t>cooking masala paste</t>
        </is>
      </c>
      <c r="C136" t="inlineStr">
        <is>
          <t>Yes</t>
        </is>
      </c>
      <c r="D136" t="inlineStr">
        <is>
          <t>Generic</t>
        </is>
      </c>
      <c r="E136" t="inlineStr">
        <is>
          <t>Curry Paste / Ready to Cook</t>
        </is>
      </c>
      <c r="F136" t="inlineStr">
        <is>
          <t>Format match (paste / ready-to-cook)</t>
        </is>
      </c>
      <c r="G136" t="inlineStr">
        <is>
          <t>Generic</t>
        </is>
      </c>
      <c r="H136" t="inlineStr">
        <is>
          <t>High / Commercial</t>
        </is>
      </c>
    </row>
    <row r="137">
      <c r="A137" t="inlineStr">
        <is>
          <t>cooking paste veg</t>
        </is>
      </c>
      <c r="C137" t="inlineStr">
        <is>
          <t>No</t>
        </is>
      </c>
      <c r="F137" t="inlineStr">
        <is>
          <t>Veg / sauces intent – weak match for chicken paste</t>
        </is>
      </c>
      <c r="G137" t="inlineStr">
        <is>
          <t>Generic</t>
        </is>
      </c>
      <c r="H137" t="inlineStr">
        <is>
          <t>High / Commercial</t>
        </is>
      </c>
    </row>
    <row r="138">
      <c r="A138" t="inlineStr">
        <is>
          <t>cooking pastes &amp; sauces</t>
        </is>
      </c>
      <c r="C138" t="inlineStr">
        <is>
          <t>No</t>
        </is>
      </c>
      <c r="F138" t="inlineStr">
        <is>
          <t>Veg / sauces intent – weak match for chicken paste</t>
        </is>
      </c>
      <c r="G138" t="inlineStr">
        <is>
          <t>Generic</t>
        </is>
      </c>
      <c r="H138" t="inlineStr">
        <is>
          <t>High / Commercial</t>
        </is>
      </c>
    </row>
    <row r="139">
      <c r="A139" t="inlineStr">
        <is>
          <t>curry leaves rice mix paste</t>
        </is>
      </c>
      <c r="C139" t="inlineStr">
        <is>
          <t>No</t>
        </is>
      </c>
      <c r="F139" t="inlineStr">
        <is>
          <t>Pack size / diet / unrelated product</t>
        </is>
      </c>
      <c r="G139" t="inlineStr">
        <is>
          <t>Generic</t>
        </is>
      </c>
      <c r="H139" t="inlineStr">
        <is>
          <t>High / Commercial</t>
        </is>
      </c>
    </row>
    <row r="140">
      <c r="A140" t="inlineStr">
        <is>
          <t>curry leaves rice mix paste sweet karam coffee</t>
        </is>
      </c>
      <c r="C140" t="inlineStr">
        <is>
          <t>No</t>
        </is>
      </c>
      <c r="F140" t="inlineStr">
        <is>
          <t>Pack size / diet / unrelated product</t>
        </is>
      </c>
      <c r="G140" t="inlineStr">
        <is>
          <t>Generic</t>
        </is>
      </c>
      <c r="H140" t="inlineStr">
        <is>
          <t>High / Commercial</t>
        </is>
      </c>
    </row>
    <row r="141">
      <c r="A141" t="inlineStr">
        <is>
          <t>curry leaves rice paste</t>
        </is>
      </c>
      <c r="C141" t="inlineStr">
        <is>
          <t>No</t>
        </is>
      </c>
      <c r="F141" t="inlineStr">
        <is>
          <t>Pack size / diet / unrelated product</t>
        </is>
      </c>
      <c r="G141" t="inlineStr">
        <is>
          <t>Generic</t>
        </is>
      </c>
      <c r="H141" t="inlineStr">
        <is>
          <t>High / Commercial</t>
        </is>
      </c>
    </row>
    <row r="142">
      <c r="A142" t="inlineStr">
        <is>
          <t>curry paste 1kg</t>
        </is>
      </c>
      <c r="C142" t="inlineStr">
        <is>
          <t>No</t>
        </is>
      </c>
      <c r="F142" t="inlineStr">
        <is>
          <t>Pack size / diet / unrelated product</t>
        </is>
      </c>
      <c r="G142" t="inlineStr">
        <is>
          <t>Generic</t>
        </is>
      </c>
      <c r="H142" t="inlineStr">
        <is>
          <t>High / Commercial</t>
        </is>
      </c>
    </row>
    <row r="143">
      <c r="A143" t="inlineStr">
        <is>
          <t>curry paste for cooking</t>
        </is>
      </c>
      <c r="C143" t="inlineStr">
        <is>
          <t>Yes</t>
        </is>
      </c>
      <c r="D143" t="inlineStr">
        <is>
          <t>Generic</t>
        </is>
      </c>
      <c r="E143" t="inlineStr">
        <is>
          <t>Curry Paste / Ready to Cook</t>
        </is>
      </c>
      <c r="F143" t="inlineStr">
        <is>
          <t>Format match (paste / ready-to-cook)</t>
        </is>
      </c>
      <c r="G143" t="inlineStr">
        <is>
          <t>Generic</t>
        </is>
      </c>
      <c r="H143" t="inlineStr">
        <is>
          <t>High / Commercial</t>
        </is>
      </c>
    </row>
    <row r="144">
      <c r="A144" t="inlineStr">
        <is>
          <t>curry paste for rice</t>
        </is>
      </c>
      <c r="C144" t="inlineStr">
        <is>
          <t>No</t>
        </is>
      </c>
      <c r="F144" t="inlineStr">
        <is>
          <t>Pack size / diet / unrelated product</t>
        </is>
      </c>
      <c r="G144" t="inlineStr">
        <is>
          <t>Generic</t>
        </is>
      </c>
      <c r="H144" t="inlineStr">
        <is>
          <t>High / Commercial</t>
        </is>
      </c>
    </row>
    <row r="145">
      <c r="A145" t="inlineStr">
        <is>
          <t>curry paste veg</t>
        </is>
      </c>
      <c r="C145" t="inlineStr">
        <is>
          <t>No</t>
        </is>
      </c>
      <c r="F145" t="inlineStr">
        <is>
          <t>Veg / sauces intent – weak match for chicken paste</t>
        </is>
      </c>
      <c r="G145" t="inlineStr">
        <is>
          <t>Generic</t>
        </is>
      </c>
      <c r="H145" t="inlineStr">
        <is>
          <t>High / Commercial</t>
        </is>
      </c>
    </row>
    <row r="146">
      <c r="A146" t="inlineStr">
        <is>
          <t>curry rogan josh paste</t>
        </is>
      </c>
      <c r="C146" t="inlineStr">
        <is>
          <t>No</t>
        </is>
      </c>
      <c r="F146" t="inlineStr">
        <is>
          <t>Other dish / other CURRYiT product – route elsewhere</t>
        </is>
      </c>
      <c r="G146" t="inlineStr">
        <is>
          <t>Generic</t>
        </is>
      </c>
      <c r="H146" t="inlineStr">
        <is>
          <t>High / Commercial</t>
        </is>
      </c>
    </row>
    <row r="147">
      <c r="A147" t="inlineStr">
        <is>
          <t>curryit chettinad chicken curry masala paste</t>
        </is>
      </c>
      <c r="C147" t="inlineStr">
        <is>
          <t>Yes</t>
        </is>
      </c>
      <c r="D147" t="inlineStr">
        <is>
          <t>Brand</t>
        </is>
      </c>
      <c r="E147" t="inlineStr">
        <is>
          <t>Brand + Chettinad</t>
        </is>
      </c>
      <c r="F147" t="inlineStr">
        <is>
          <t>Own brand + exact product</t>
        </is>
      </c>
      <c r="G147" t="inlineStr">
        <is>
          <t>Brand</t>
        </is>
      </c>
      <c r="H147" t="inlineStr">
        <is>
          <t>High / Commercial</t>
        </is>
      </c>
    </row>
    <row r="148">
      <c r="A148" t="inlineStr">
        <is>
          <t>curryit punjabi kadhai paneer masala premium cooking paste</t>
        </is>
      </c>
      <c r="C148" t="inlineStr">
        <is>
          <t>No</t>
        </is>
      </c>
      <c r="F148" t="inlineStr">
        <is>
          <t>Own brand, other product – route to that product's campaign</t>
        </is>
      </c>
      <c r="G148" t="inlineStr">
        <is>
          <t>Brand</t>
        </is>
      </c>
      <c r="H148" t="inlineStr">
        <is>
          <t>High / Commercial</t>
        </is>
      </c>
    </row>
    <row r="149">
      <c r="A149" t="inlineStr">
        <is>
          <t>dabur tamarind paste for cooking</t>
        </is>
      </c>
      <c r="C149" t="inlineStr">
        <is>
          <t>No</t>
        </is>
      </c>
      <c r="F149" t="inlineStr">
        <is>
          <t>Single-ingredient paste, not a curry</t>
        </is>
      </c>
      <c r="G149" t="inlineStr">
        <is>
          <t>Generic</t>
        </is>
      </c>
      <c r="H149" t="inlineStr">
        <is>
          <t>High / Commercial</t>
        </is>
      </c>
    </row>
    <row r="150">
      <c r="A150" t="inlineStr">
        <is>
          <t>fish curry masala ready to cook</t>
        </is>
      </c>
      <c r="C150" t="inlineStr">
        <is>
          <t>No</t>
        </is>
      </c>
      <c r="F150" t="inlineStr">
        <is>
          <t>Other dish / other CURRYiT product – route elsewhere</t>
        </is>
      </c>
      <c r="G150" t="inlineStr">
        <is>
          <t>Generic</t>
        </is>
      </c>
      <c r="H150" t="inlineStr">
        <is>
          <t>High / Commercial</t>
        </is>
      </c>
    </row>
    <row r="151">
      <c r="A151" t="inlineStr">
        <is>
          <t>fish curry paste ready to cook</t>
        </is>
      </c>
      <c r="C151" t="inlineStr">
        <is>
          <t>No</t>
        </is>
      </c>
      <c r="F151" t="inlineStr">
        <is>
          <t>Other dish / other CURRYiT product – route elsewhere</t>
        </is>
      </c>
      <c r="G151" t="inlineStr">
        <is>
          <t>Generic</t>
        </is>
      </c>
      <c r="H151" t="inlineStr">
        <is>
          <t>High / Commercial</t>
        </is>
      </c>
    </row>
    <row r="152">
      <c r="A152" t="inlineStr">
        <is>
          <t>goa fish curry paste</t>
        </is>
      </c>
      <c r="C152" t="inlineStr">
        <is>
          <t>No</t>
        </is>
      </c>
      <c r="F152" t="inlineStr">
        <is>
          <t>Other dish / other CURRYiT product – route elsewhere</t>
        </is>
      </c>
      <c r="G152" t="inlineStr">
        <is>
          <t>Generic</t>
        </is>
      </c>
      <c r="H152" t="inlineStr">
        <is>
          <t>High / Commercial</t>
        </is>
      </c>
    </row>
    <row r="153">
      <c r="A153" t="inlineStr">
        <is>
          <t>goan fish curry masala paste</t>
        </is>
      </c>
      <c r="C153" t="inlineStr">
        <is>
          <t>No</t>
        </is>
      </c>
      <c r="F153" t="inlineStr">
        <is>
          <t>Other dish / other CURRYiT product – route elsewhere</t>
        </is>
      </c>
      <c r="G153" t="inlineStr">
        <is>
          <t>Generic</t>
        </is>
      </c>
      <c r="H153" t="inlineStr">
        <is>
          <t>High / Commercial</t>
        </is>
      </c>
    </row>
    <row r="154">
      <c r="A154" t="inlineStr">
        <is>
          <t>green chilli paste for cooking</t>
        </is>
      </c>
      <c r="C154" t="inlineStr">
        <is>
          <t>No</t>
        </is>
      </c>
      <c r="F154" t="inlineStr">
        <is>
          <t>Single-ingredient paste, not a curry</t>
        </is>
      </c>
      <c r="G154" t="inlineStr">
        <is>
          <t>Generic</t>
        </is>
      </c>
      <c r="H154" t="inlineStr">
        <is>
          <t>High / Commercial</t>
        </is>
      </c>
    </row>
    <row r="155">
      <c r="A155" t="inlineStr">
        <is>
          <t>green thai curry paste jain</t>
        </is>
      </c>
      <c r="C155" t="inlineStr">
        <is>
          <t>No</t>
        </is>
      </c>
      <c r="F155" t="inlineStr">
        <is>
          <t>Jain / no onion-garlic; CURRYiT contains onion &amp; garlic</t>
        </is>
      </c>
      <c r="G155" t="inlineStr">
        <is>
          <t>Generic</t>
        </is>
      </c>
      <c r="H155" t="inlineStr">
        <is>
          <t>High / Commercial</t>
        </is>
      </c>
    </row>
    <row r="156">
      <c r="A156" t="inlineStr">
        <is>
          <t>imli paste for cooking</t>
        </is>
      </c>
      <c r="C156" t="inlineStr">
        <is>
          <t>No</t>
        </is>
      </c>
      <c r="F156" t="inlineStr">
        <is>
          <t>Single-ingredient paste, not a curry</t>
        </is>
      </c>
      <c r="G156" t="inlineStr">
        <is>
          <t>Generic</t>
        </is>
      </c>
      <c r="H156" t="inlineStr">
        <is>
          <t>High / Commercial</t>
        </is>
      </c>
    </row>
    <row r="157">
      <c r="A157" t="inlineStr">
        <is>
          <t>india gate classic chettinad chicken masala gravy</t>
        </is>
      </c>
      <c r="C157" t="inlineStr">
        <is>
          <t>Yes</t>
        </is>
      </c>
      <c r="D157" t="inlineStr">
        <is>
          <t>Competitor</t>
        </is>
      </c>
      <c r="E157" t="inlineStr">
        <is>
          <t>Chettinad Competitors</t>
        </is>
      </c>
      <c r="F157" t="inlineStr">
        <is>
          <t>Competitor brand + Chettinad</t>
        </is>
      </c>
      <c r="G157" t="inlineStr">
        <is>
          <t>Generic</t>
        </is>
      </c>
      <c r="H157" t="inlineStr">
        <is>
          <t>High / Commercial</t>
        </is>
      </c>
    </row>
    <row r="158">
      <c r="A158" t="inlineStr">
        <is>
          <t>indian curry paste combo</t>
        </is>
      </c>
      <c r="C158" t="inlineStr">
        <is>
          <t>Yes</t>
        </is>
      </c>
      <c r="D158" t="inlineStr">
        <is>
          <t>Generic</t>
        </is>
      </c>
      <c r="E158" t="inlineStr">
        <is>
          <t>Curry Paste / Ready to Cook</t>
        </is>
      </c>
      <c r="F158" t="inlineStr">
        <is>
          <t>Format match (paste / ready-to-cook)</t>
        </is>
      </c>
      <c r="G158" t="inlineStr">
        <is>
          <t>Generic</t>
        </is>
      </c>
      <c r="H158" t="inlineStr">
        <is>
          <t>High / Commercial</t>
        </is>
      </c>
    </row>
    <row r="159">
      <c r="A159" t="inlineStr">
        <is>
          <t>itc butter chicken cooking paste</t>
        </is>
      </c>
      <c r="C159" t="inlineStr">
        <is>
          <t>No</t>
        </is>
      </c>
      <c r="F159" t="inlineStr">
        <is>
          <t>Other dish / other CURRYiT product – route elsewhere</t>
        </is>
      </c>
      <c r="G159" t="inlineStr">
        <is>
          <t>Competitor</t>
        </is>
      </c>
      <c r="H159" t="inlineStr">
        <is>
          <t>High / Commercial</t>
        </is>
      </c>
    </row>
    <row r="160">
      <c r="A160" t="inlineStr">
        <is>
          <t>itc curry paste</t>
        </is>
      </c>
      <c r="C160" t="inlineStr">
        <is>
          <t>Yes</t>
        </is>
      </c>
      <c r="D160" t="inlineStr">
        <is>
          <t>Competitor</t>
        </is>
      </c>
      <c r="E160" t="inlineStr">
        <is>
          <t>Cooking Paste Brands</t>
        </is>
      </c>
      <c r="F160" t="inlineStr">
        <is>
          <t>Competitor brand, same paste format</t>
        </is>
      </c>
      <c r="G160" t="inlineStr">
        <is>
          <t>Competitor</t>
        </is>
      </c>
      <c r="H160" t="inlineStr">
        <is>
          <t>High / Commercial</t>
        </is>
      </c>
    </row>
    <row r="161">
      <c r="A161" t="inlineStr">
        <is>
          <t>jain khowsuey curry paste</t>
        </is>
      </c>
      <c r="C161" t="inlineStr">
        <is>
          <t>No</t>
        </is>
      </c>
      <c r="F161" t="inlineStr">
        <is>
          <t>Jain / no onion-garlic; CURRYiT contains onion &amp; garlic</t>
        </is>
      </c>
      <c r="G161" t="inlineStr">
        <is>
          <t>Generic</t>
        </is>
      </c>
      <c r="H161" t="inlineStr">
        <is>
          <t>High / Commercial</t>
        </is>
      </c>
    </row>
    <row r="162">
      <c r="A162" t="inlineStr">
        <is>
          <t>jain red thai curry paste</t>
        </is>
      </c>
      <c r="C162" t="inlineStr">
        <is>
          <t>No</t>
        </is>
      </c>
      <c r="F162" t="inlineStr">
        <is>
          <t>Jain / no onion-garlic; CURRYiT contains onion &amp; garlic</t>
        </is>
      </c>
      <c r="G162" t="inlineStr">
        <is>
          <t>Generic</t>
        </is>
      </c>
      <c r="H162" t="inlineStr">
        <is>
          <t>High / Commercial</t>
        </is>
      </c>
    </row>
    <row r="163">
      <c r="A163" t="inlineStr">
        <is>
          <t>jain red thai curry paste no onion no garlic</t>
        </is>
      </c>
      <c r="C163" t="inlineStr">
        <is>
          <t>No</t>
        </is>
      </c>
      <c r="F163" t="inlineStr">
        <is>
          <t>Jain / no onion-garlic; CURRYiT contains onion &amp; garlic</t>
        </is>
      </c>
      <c r="G163" t="inlineStr">
        <is>
          <t>Generic</t>
        </is>
      </c>
      <c r="H163" t="inlineStr">
        <is>
          <t>High / Commercial</t>
        </is>
      </c>
    </row>
    <row r="164">
      <c r="A164" t="inlineStr">
        <is>
          <t>jain thai curry paste no onion no garlic</t>
        </is>
      </c>
      <c r="C164" t="inlineStr">
        <is>
          <t>No</t>
        </is>
      </c>
      <c r="F164" t="inlineStr">
        <is>
          <t>Jain / no onion-garlic; CURRYiT contains onion &amp; garlic</t>
        </is>
      </c>
      <c r="G164" t="inlineStr">
        <is>
          <t>Generic</t>
        </is>
      </c>
      <c r="H164" t="inlineStr">
        <is>
          <t>High / Commercial</t>
        </is>
      </c>
    </row>
    <row r="165">
      <c r="A165" t="inlineStr">
        <is>
          <t>jain thai green curry paste no onion no garlic</t>
        </is>
      </c>
      <c r="C165" t="inlineStr">
        <is>
          <t>No</t>
        </is>
      </c>
      <c r="F165" t="inlineStr">
        <is>
          <t>Jain / no onion-garlic; CURRYiT contains onion &amp; garlic</t>
        </is>
      </c>
      <c r="G165" t="inlineStr">
        <is>
          <t>Generic</t>
        </is>
      </c>
      <c r="H165" t="inlineStr">
        <is>
          <t>High / Commercial</t>
        </is>
      </c>
    </row>
    <row r="166">
      <c r="A166" t="inlineStr">
        <is>
          <t>kaju paste for cooking</t>
        </is>
      </c>
      <c r="C166" t="inlineStr">
        <is>
          <t>No</t>
        </is>
      </c>
      <c r="F166" t="inlineStr">
        <is>
          <t>Single-ingredient paste, not a curry</t>
        </is>
      </c>
      <c r="G166" t="inlineStr">
        <is>
          <t>Generic</t>
        </is>
      </c>
      <c r="H166" t="inlineStr">
        <is>
          <t>High / Commercial</t>
        </is>
      </c>
    </row>
    <row r="167">
      <c r="A167" t="inlineStr">
        <is>
          <t>kerala chicken curry masala</t>
        </is>
      </c>
      <c r="C167" t="inlineStr">
        <is>
          <t>No</t>
        </is>
      </c>
      <c r="F167" t="inlineStr">
        <is>
          <t>Other regional chicken masala – test only, not core</t>
        </is>
      </c>
      <c r="G167" t="inlineStr">
        <is>
          <t>Generic</t>
        </is>
      </c>
      <c r="H167" t="inlineStr">
        <is>
          <t>High / Commercial</t>
        </is>
      </c>
    </row>
    <row r="168">
      <c r="A168" t="inlineStr">
        <is>
          <t>kerala fish curry paste</t>
        </is>
      </c>
      <c r="C168" t="inlineStr">
        <is>
          <t>No</t>
        </is>
      </c>
      <c r="F168" t="inlineStr">
        <is>
          <t>Other dish / other CURRYiT product – route elsewhere</t>
        </is>
      </c>
      <c r="G168" t="inlineStr">
        <is>
          <t>Generic</t>
        </is>
      </c>
      <c r="H168" t="inlineStr">
        <is>
          <t>High / Commercial</t>
        </is>
      </c>
    </row>
    <row r="169">
      <c r="A169" t="inlineStr">
        <is>
          <t>khowsuey curry paste burma burma</t>
        </is>
      </c>
      <c r="C169" t="inlineStr">
        <is>
          <t>No</t>
        </is>
      </c>
      <c r="F169" t="inlineStr">
        <is>
          <t>Thai / foreign cuisine – wrong flavour for a Chettinad paste</t>
        </is>
      </c>
      <c r="G169" t="inlineStr">
        <is>
          <t>Generic</t>
        </is>
      </c>
      <c r="H169" t="inlineStr">
        <is>
          <t>High / Commercial</t>
        </is>
      </c>
    </row>
    <row r="170">
      <c r="A170" t="inlineStr">
        <is>
          <t>killer chicken gravy masala curry no 9211</t>
        </is>
      </c>
      <c r="C170" t="inlineStr">
        <is>
          <t>No</t>
        </is>
      </c>
      <c r="F170" t="inlineStr">
        <is>
          <t>Unclear brand/intent – verify before using</t>
        </is>
      </c>
      <c r="G170" t="inlineStr">
        <is>
          <t>Generic</t>
        </is>
      </c>
      <c r="H170" t="inlineStr">
        <is>
          <t>High / Commercial</t>
        </is>
      </c>
    </row>
    <row r="171">
      <c r="A171" t="inlineStr">
        <is>
          <t>lemon grass paste for cooking</t>
        </is>
      </c>
      <c r="C171" t="inlineStr">
        <is>
          <t>No</t>
        </is>
      </c>
      <c r="F171" t="inlineStr">
        <is>
          <t>Single-ingredient paste, not a curry</t>
        </is>
      </c>
      <c r="G171" t="inlineStr">
        <is>
          <t>Generic</t>
        </is>
      </c>
      <c r="H171" t="inlineStr">
        <is>
          <t>High / Commercial</t>
        </is>
      </c>
    </row>
    <row r="172">
      <c r="A172" t="inlineStr">
        <is>
          <t>moi soi green thai curry paste</t>
        </is>
      </c>
      <c r="C172" t="inlineStr">
        <is>
          <t>No</t>
        </is>
      </c>
      <c r="F172" t="inlineStr">
        <is>
          <t>Thai / foreign cuisine – wrong flavour for a Chettinad paste</t>
        </is>
      </c>
      <c r="G172" t="inlineStr">
        <is>
          <t>Generic</t>
        </is>
      </c>
      <c r="H172" t="inlineStr">
        <is>
          <t>High / Commercial</t>
        </is>
      </c>
    </row>
    <row r="173">
      <c r="A173" t="inlineStr">
        <is>
          <t>moi soi thai curry paste</t>
        </is>
      </c>
      <c r="C173" t="inlineStr">
        <is>
          <t>No</t>
        </is>
      </c>
      <c r="F173" t="inlineStr">
        <is>
          <t>Thai / foreign cuisine – wrong flavour for a Chettinad paste</t>
        </is>
      </c>
      <c r="G173" t="inlineStr">
        <is>
          <t>Generic</t>
        </is>
      </c>
      <c r="H173" t="inlineStr">
        <is>
          <t>High / Commercial</t>
        </is>
      </c>
    </row>
    <row r="174">
      <c r="A174" t="inlineStr">
        <is>
          <t>mother's recipe chicken curry masala</t>
        </is>
      </c>
      <c r="C174" t="inlineStr">
        <is>
          <t>Yes</t>
        </is>
      </c>
      <c r="D174" t="inlineStr">
        <is>
          <t>Competitor</t>
        </is>
      </c>
      <c r="E174" t="inlineStr">
        <is>
          <t>Chicken Curry Masala Brands</t>
        </is>
      </c>
      <c r="F174" t="inlineStr">
        <is>
          <t>Competitor brand, chicken curry masala</t>
        </is>
      </c>
      <c r="G174" t="inlineStr">
        <is>
          <t>Competitor</t>
        </is>
      </c>
      <c r="H174" t="inlineStr">
        <is>
          <t>High / Commercial</t>
        </is>
      </c>
    </row>
    <row r="175">
      <c r="A175" t="inlineStr">
        <is>
          <t>mothers recipe chicken chettinad masala</t>
        </is>
      </c>
      <c r="C175" t="inlineStr">
        <is>
          <t>Yes</t>
        </is>
      </c>
      <c r="D175" t="inlineStr">
        <is>
          <t>Competitor</t>
        </is>
      </c>
      <c r="E175" t="inlineStr">
        <is>
          <t>Chettinad Competitors</t>
        </is>
      </c>
      <c r="F175" t="inlineStr">
        <is>
          <t>Competitor brand + Chettinad</t>
        </is>
      </c>
      <c r="G175" t="inlineStr">
        <is>
          <t>Competitor</t>
        </is>
      </c>
      <c r="H175" t="inlineStr">
        <is>
          <t>High / Commercial</t>
        </is>
      </c>
    </row>
    <row r="176">
      <c r="A176" t="inlineStr">
        <is>
          <t>mustard paste for fish curry</t>
        </is>
      </c>
      <c r="C176" t="inlineStr">
        <is>
          <t>No</t>
        </is>
      </c>
      <c r="F176" t="inlineStr">
        <is>
          <t>Other dish / other CURRYiT product – route elsewhere</t>
        </is>
      </c>
      <c r="G176" t="inlineStr">
        <is>
          <t>Generic</t>
        </is>
      </c>
      <c r="H176" t="inlineStr">
        <is>
          <t>High / Commercial</t>
        </is>
      </c>
    </row>
    <row r="177">
      <c r="A177" t="inlineStr">
        <is>
          <t>namjai thai green curry paste</t>
        </is>
      </c>
      <c r="C177" t="inlineStr">
        <is>
          <t>No</t>
        </is>
      </c>
      <c r="F177" t="inlineStr">
        <is>
          <t>Thai / foreign cuisine – wrong flavour for a Chettinad paste</t>
        </is>
      </c>
      <c r="G177" t="inlineStr">
        <is>
          <t>Generic</t>
        </is>
      </c>
      <c r="H177" t="inlineStr">
        <is>
          <t>High / Commercial</t>
        </is>
      </c>
    </row>
    <row r="178">
      <c r="A178" t="inlineStr">
        <is>
          <t>namjhai green curry paste</t>
        </is>
      </c>
      <c r="C178" t="inlineStr">
        <is>
          <t>No</t>
        </is>
      </c>
      <c r="F178" t="inlineStr">
        <is>
          <t>Thai / foreign cuisine – wrong flavour for a Chettinad paste</t>
        </is>
      </c>
      <c r="G178" t="inlineStr">
        <is>
          <t>Generic</t>
        </is>
      </c>
      <c r="H178" t="inlineStr">
        <is>
          <t>High / Commercial</t>
        </is>
      </c>
    </row>
    <row r="179">
      <c r="A179" t="inlineStr">
        <is>
          <t>paste hing for cooking</t>
        </is>
      </c>
      <c r="C179" t="inlineStr">
        <is>
          <t>No</t>
        </is>
      </c>
      <c r="F179" t="inlineStr">
        <is>
          <t>Single-ingredient paste, not a curry</t>
        </is>
      </c>
      <c r="G179" t="inlineStr">
        <is>
          <t>Generic</t>
        </is>
      </c>
      <c r="H179" t="inlineStr">
        <is>
          <t>High / Commercial</t>
        </is>
      </c>
    </row>
    <row r="180">
      <c r="A180" t="inlineStr">
        <is>
          <t>pure &amp; sure organic red thai curry paste</t>
        </is>
      </c>
      <c r="C180" t="inlineStr">
        <is>
          <t>No</t>
        </is>
      </c>
      <c r="F180" t="inlineStr">
        <is>
          <t>Pack size / diet / unrelated product</t>
        </is>
      </c>
      <c r="G180" t="inlineStr">
        <is>
          <t>Generic</t>
        </is>
      </c>
      <c r="H180" t="inlineStr">
        <is>
          <t>High / Commercial</t>
        </is>
      </c>
    </row>
    <row r="181">
      <c r="A181" t="inlineStr">
        <is>
          <t>pure and sure thai curry paste</t>
        </is>
      </c>
      <c r="C181" t="inlineStr">
        <is>
          <t>No</t>
        </is>
      </c>
      <c r="F181" t="inlineStr">
        <is>
          <t>Thai / foreign cuisine – wrong flavour for a Chettinad paste</t>
        </is>
      </c>
      <c r="G181" t="inlineStr">
        <is>
          <t>Generic</t>
        </is>
      </c>
      <c r="H181" t="inlineStr">
        <is>
          <t>High / Commercial</t>
        </is>
      </c>
    </row>
    <row r="182">
      <c r="A182" t="inlineStr">
        <is>
          <t>ready to cook curry mix</t>
        </is>
      </c>
      <c r="C182" t="inlineStr">
        <is>
          <t>Yes</t>
        </is>
      </c>
      <c r="D182" t="inlineStr">
        <is>
          <t>Generic</t>
        </is>
      </c>
      <c r="E182" t="inlineStr">
        <is>
          <t>Curry Paste / Ready to Cook</t>
        </is>
      </c>
      <c r="F182" t="inlineStr">
        <is>
          <t>Format match (paste / ready-to-cook)</t>
        </is>
      </c>
      <c r="G182" t="inlineStr">
        <is>
          <t>Generic</t>
        </is>
      </c>
      <c r="H182" t="inlineStr">
        <is>
          <t>High / Commercial</t>
        </is>
      </c>
    </row>
    <row r="183">
      <c r="A183" t="inlineStr">
        <is>
          <t>ready to cook kerala curry</t>
        </is>
      </c>
      <c r="C183" t="inlineStr">
        <is>
          <t>No</t>
        </is>
      </c>
      <c r="F183" t="inlineStr">
        <is>
          <t>Other dish / other CURRYiT product – route elsewhere</t>
        </is>
      </c>
      <c r="G183" t="inlineStr">
        <is>
          <t>Generic</t>
        </is>
      </c>
      <c r="H183" t="inlineStr">
        <is>
          <t>High / Commercial</t>
        </is>
      </c>
    </row>
    <row r="184">
      <c r="A184" t="inlineStr">
        <is>
          <t>ready to cook thai curry</t>
        </is>
      </c>
      <c r="C184" t="inlineStr">
        <is>
          <t>No</t>
        </is>
      </c>
      <c r="F184" t="inlineStr">
        <is>
          <t>Thai / foreign cuisine – wrong flavour for a Chettinad paste</t>
        </is>
      </c>
      <c r="G184" t="inlineStr">
        <is>
          <t>Generic</t>
        </is>
      </c>
      <c r="H184" t="inlineStr">
        <is>
          <t>High / Commercial</t>
        </is>
      </c>
    </row>
    <row r="185">
      <c r="A185" t="inlineStr">
        <is>
          <t>real thai original thai cuisine red curry paste</t>
        </is>
      </c>
      <c r="C185" t="inlineStr">
        <is>
          <t>No</t>
        </is>
      </c>
      <c r="F185" t="inlineStr">
        <is>
          <t>Thai / foreign cuisine – wrong flavour for a Chettinad paste</t>
        </is>
      </c>
      <c r="G185" t="inlineStr">
        <is>
          <t>Generic</t>
        </is>
      </c>
      <c r="H185" t="inlineStr">
        <is>
          <t>High / Commercial</t>
        </is>
      </c>
    </row>
    <row r="186">
      <c r="A186" t="inlineStr">
        <is>
          <t>real thai red curry paste amazon now</t>
        </is>
      </c>
      <c r="C186" t="inlineStr">
        <is>
          <t>No</t>
        </is>
      </c>
      <c r="F186" t="inlineStr">
        <is>
          <t>Thai / foreign cuisine – wrong flavour for a Chettinad paste</t>
        </is>
      </c>
      <c r="G186" t="inlineStr">
        <is>
          <t>Generic</t>
        </is>
      </c>
      <c r="H186" t="inlineStr">
        <is>
          <t>High / Commercial</t>
        </is>
      </c>
    </row>
    <row r="187">
      <c r="A187" t="inlineStr">
        <is>
          <t>red chilli paste for cooking</t>
        </is>
      </c>
      <c r="C187" t="inlineStr">
        <is>
          <t>No</t>
        </is>
      </c>
      <c r="F187" t="inlineStr">
        <is>
          <t>Single-ingredient paste, not a curry</t>
        </is>
      </c>
      <c r="G187" t="inlineStr">
        <is>
          <t>Generic</t>
        </is>
      </c>
      <c r="H187" t="inlineStr">
        <is>
          <t>High / Commercial</t>
        </is>
      </c>
    </row>
    <row r="188">
      <c r="A188" t="inlineStr">
        <is>
          <t>roasted coconut chicken curry masala</t>
        </is>
      </c>
      <c r="C188" t="inlineStr">
        <is>
          <t>No</t>
        </is>
      </c>
      <c r="F188" t="inlineStr">
        <is>
          <t>Other regional chicken masala – test only, not core</t>
        </is>
      </c>
      <c r="G188" t="inlineStr">
        <is>
          <t>Generic</t>
        </is>
      </c>
      <c r="H188" t="inlineStr">
        <is>
          <t>High / Commercial</t>
        </is>
      </c>
    </row>
    <row r="189">
      <c r="A189" t="inlineStr">
        <is>
          <t>saffola masala oats chicken curry flavour</t>
        </is>
      </c>
      <c r="C189" t="inlineStr">
        <is>
          <t>No</t>
        </is>
      </c>
      <c r="F189" t="inlineStr">
        <is>
          <t>Pack size / diet / unrelated product</t>
        </is>
      </c>
      <c r="G189" t="inlineStr">
        <is>
          <t>Competitor</t>
        </is>
      </c>
      <c r="H189" t="inlineStr">
        <is>
          <t>High / Commercial</t>
        </is>
      </c>
    </row>
    <row r="190">
      <c r="A190" t="inlineStr">
        <is>
          <t>sakthi chettinad chicken masala powder</t>
        </is>
      </c>
      <c r="C190" t="inlineStr">
        <is>
          <t>Yes</t>
        </is>
      </c>
      <c r="D190" t="inlineStr">
        <is>
          <t>Competitor</t>
        </is>
      </c>
      <c r="E190" t="inlineStr">
        <is>
          <t>Chettinad Competitors</t>
        </is>
      </c>
      <c r="F190" t="inlineStr">
        <is>
          <t>Competitor brand + Chettinad</t>
        </is>
      </c>
      <c r="G190" t="inlineStr">
        <is>
          <t>Generic</t>
        </is>
      </c>
      <c r="H190" t="inlineStr">
        <is>
          <t>High / Commercial</t>
        </is>
      </c>
    </row>
    <row r="191">
      <c r="A191" t="inlineStr">
        <is>
          <t>savji curry paste</t>
        </is>
      </c>
      <c r="C191" t="inlineStr">
        <is>
          <t>No</t>
        </is>
      </c>
      <c r="F191" t="inlineStr">
        <is>
          <t>Pack size / diet / unrelated product</t>
        </is>
      </c>
      <c r="G191" t="inlineStr">
        <is>
          <t>Generic</t>
        </is>
      </c>
      <c r="H191" t="inlineStr">
        <is>
          <t>High / Commercial</t>
        </is>
      </c>
    </row>
    <row r="192">
      <c r="A192" t="inlineStr">
        <is>
          <t>special chicken curry masala</t>
        </is>
      </c>
      <c r="C192" t="inlineStr">
        <is>
          <t>Yes</t>
        </is>
      </c>
      <c r="D192" t="inlineStr">
        <is>
          <t>Generic</t>
        </is>
      </c>
      <c r="E192" t="inlineStr">
        <is>
          <t>Chicken Curry Masala</t>
        </is>
      </c>
      <c r="F192" t="inlineStr">
        <is>
          <t>Same cooking need (chicken curry)</t>
        </is>
      </c>
      <c r="G192" t="inlineStr">
        <is>
          <t>Generic</t>
        </is>
      </c>
      <c r="H192" t="inlineStr">
        <is>
          <t>High / Commercial</t>
        </is>
      </c>
    </row>
    <row r="193">
      <c r="A193" t="inlineStr">
        <is>
          <t>spiced right chettinad masala</t>
        </is>
      </c>
      <c r="C193" t="inlineStr">
        <is>
          <t>Yes</t>
        </is>
      </c>
      <c r="D193" t="inlineStr">
        <is>
          <t>Competitor</t>
        </is>
      </c>
      <c r="E193" t="inlineStr">
        <is>
          <t>Chettinad Competitors</t>
        </is>
      </c>
      <c r="F193" t="inlineStr">
        <is>
          <t>Competitor brand + Chettinad</t>
        </is>
      </c>
      <c r="G193" t="inlineStr">
        <is>
          <t>Generic</t>
        </is>
      </c>
      <c r="H193" t="inlineStr">
        <is>
          <t>High / Commercial</t>
        </is>
      </c>
    </row>
    <row r="194">
      <c r="A194" t="inlineStr">
        <is>
          <t>srr chicken curry masala</t>
        </is>
      </c>
      <c r="C194" t="inlineStr">
        <is>
          <t>Yes</t>
        </is>
      </c>
      <c r="D194" t="inlineStr">
        <is>
          <t>Competitor</t>
        </is>
      </c>
      <c r="E194" t="inlineStr">
        <is>
          <t>Chicken Curry Masala Brands</t>
        </is>
      </c>
      <c r="F194" t="inlineStr">
        <is>
          <t>Competitor brand, chicken curry masala</t>
        </is>
      </c>
      <c r="G194" t="inlineStr">
        <is>
          <t>Generic</t>
        </is>
      </c>
      <c r="H194" t="inlineStr">
        <is>
          <t>High / Commercial</t>
        </is>
      </c>
    </row>
    <row r="195">
      <c r="A195" t="inlineStr">
        <is>
          <t>swadisht curry paste</t>
        </is>
      </c>
      <c r="C195" t="inlineStr">
        <is>
          <t>No</t>
        </is>
      </c>
      <c r="F195" t="inlineStr">
        <is>
          <t>Pack size / diet / unrelated product</t>
        </is>
      </c>
      <c r="G195" t="inlineStr">
        <is>
          <t>Generic</t>
        </is>
      </c>
      <c r="H195" t="inlineStr">
        <is>
          <t>High / Commercial</t>
        </is>
      </c>
    </row>
    <row r="196">
      <c r="A196" t="inlineStr">
        <is>
          <t>sweet karam coffee curry leaves paste</t>
        </is>
      </c>
      <c r="C196" t="inlineStr">
        <is>
          <t>No</t>
        </is>
      </c>
      <c r="F196" t="inlineStr">
        <is>
          <t>Pack size / diet / unrelated product</t>
        </is>
      </c>
      <c r="G196" t="inlineStr">
        <is>
          <t>Generic</t>
        </is>
      </c>
      <c r="H196" t="inlineStr">
        <is>
          <t>High / Commercial</t>
        </is>
      </c>
    </row>
    <row r="197">
      <c r="A197" t="inlineStr">
        <is>
          <t>tamarind paste for cooking 1 kg</t>
        </is>
      </c>
      <c r="C197" t="inlineStr">
        <is>
          <t>No</t>
        </is>
      </c>
      <c r="F197" t="inlineStr">
        <is>
          <t>Pack size / diet / unrelated product</t>
        </is>
      </c>
      <c r="G197" t="inlineStr">
        <is>
          <t>Generic</t>
        </is>
      </c>
      <c r="H197" t="inlineStr">
        <is>
          <t>High / Commercial</t>
        </is>
      </c>
    </row>
    <row r="198">
      <c r="A198" t="inlineStr">
        <is>
          <t>tata sampann chicken curry masala</t>
        </is>
      </c>
      <c r="C198" t="inlineStr">
        <is>
          <t>Yes</t>
        </is>
      </c>
      <c r="D198" t="inlineStr">
        <is>
          <t>Competitor</t>
        </is>
      </c>
      <c r="E198" t="inlineStr">
        <is>
          <t>Chicken Curry Masala Brands</t>
        </is>
      </c>
      <c r="F198" t="inlineStr">
        <is>
          <t>Competitor brand, chicken curry masala</t>
        </is>
      </c>
      <c r="G198" t="inlineStr">
        <is>
          <t>Competitor</t>
        </is>
      </c>
      <c r="H198" t="inlineStr">
        <is>
          <t>High / Commercial</t>
        </is>
      </c>
    </row>
    <row r="199">
      <c r="A199" t="inlineStr">
        <is>
          <t>thai curry paste imported</t>
        </is>
      </c>
      <c r="C199" t="inlineStr">
        <is>
          <t>No</t>
        </is>
      </c>
      <c r="F199" t="inlineStr">
        <is>
          <t>Thai / foreign cuisine – wrong flavour for a Chettinad paste</t>
        </is>
      </c>
      <c r="G199" t="inlineStr">
        <is>
          <t>Generic</t>
        </is>
      </c>
      <c r="H199" t="inlineStr">
        <is>
          <t>High / Commercial</t>
        </is>
      </c>
    </row>
    <row r="200">
      <c r="A200" t="inlineStr">
        <is>
          <t>thai curry paste no onion no garlic</t>
        </is>
      </c>
      <c r="C200" t="inlineStr">
        <is>
          <t>No</t>
        </is>
      </c>
      <c r="F200" t="inlineStr">
        <is>
          <t>Jain / no onion-garlic; CURRYiT contains onion &amp; garlic</t>
        </is>
      </c>
      <c r="G200" t="inlineStr">
        <is>
          <t>Generic</t>
        </is>
      </c>
      <c r="H200" t="inlineStr">
        <is>
          <t>High / Commercial</t>
        </is>
      </c>
    </row>
    <row r="201">
      <c r="A201" t="inlineStr">
        <is>
          <t>thai curry paste organic</t>
        </is>
      </c>
      <c r="C201" t="inlineStr">
        <is>
          <t>No</t>
        </is>
      </c>
      <c r="F201" t="inlineStr">
        <is>
          <t>Pack size / diet / unrelated product</t>
        </is>
      </c>
      <c r="G201" t="inlineStr">
        <is>
          <t>Generic</t>
        </is>
      </c>
      <c r="H201" t="inlineStr">
        <is>
          <t>High / Commercial</t>
        </is>
      </c>
    </row>
    <row r="202">
      <c r="A202" t="inlineStr">
        <is>
          <t>thai green curry paste amazon now</t>
        </is>
      </c>
      <c r="C202" t="inlineStr">
        <is>
          <t>No</t>
        </is>
      </c>
      <c r="F202" t="inlineStr">
        <is>
          <t>Thai / foreign cuisine – wrong flavour for a Chettinad paste</t>
        </is>
      </c>
      <c r="G202" t="inlineStr">
        <is>
          <t>Generic</t>
        </is>
      </c>
      <c r="H202" t="inlineStr">
        <is>
          <t>High / Commercial</t>
        </is>
      </c>
    </row>
    <row r="203">
      <c r="A203" t="inlineStr">
        <is>
          <t>thai red curry paste non veg</t>
        </is>
      </c>
      <c r="C203" t="inlineStr">
        <is>
          <t>No</t>
        </is>
      </c>
      <c r="F203" t="inlineStr">
        <is>
          <t>Thai / foreign cuisine – wrong flavour for a Chettinad paste</t>
        </is>
      </c>
      <c r="G203" t="inlineStr">
        <is>
          <t>Generic</t>
        </is>
      </c>
      <c r="H203" t="inlineStr">
        <is>
          <t>High / Commercial</t>
        </is>
      </c>
    </row>
    <row r="204">
      <c r="A204" t="inlineStr">
        <is>
          <t>urban platter red thai curry paste</t>
        </is>
      </c>
      <c r="C204" t="inlineStr">
        <is>
          <t>No</t>
        </is>
      </c>
      <c r="F204" t="inlineStr">
        <is>
          <t>Thai / foreign cuisine – wrong flavour for a Chettinad paste</t>
        </is>
      </c>
      <c r="G204" t="inlineStr">
        <is>
          <t>Generic</t>
        </is>
      </c>
      <c r="H204" t="inlineStr">
        <is>
          <t>High / Commercial</t>
        </is>
      </c>
    </row>
    <row r="205">
      <c r="A205" t="inlineStr">
        <is>
          <t>urban platter thai green curry paste</t>
        </is>
      </c>
      <c r="C205" t="inlineStr">
        <is>
          <t>No</t>
        </is>
      </c>
      <c r="F205" t="inlineStr">
        <is>
          <t>Thai / foreign cuisine – wrong flavour for a Chettinad paste</t>
        </is>
      </c>
      <c r="G205" t="inlineStr">
        <is>
          <t>Generic</t>
        </is>
      </c>
      <c r="H205" t="inlineStr">
        <is>
          <t>High / Commercial</t>
        </is>
      </c>
    </row>
    <row r="206">
      <c r="A206" t="inlineStr">
        <is>
          <t>veg thai curry red paste</t>
        </is>
      </c>
      <c r="C206" t="inlineStr">
        <is>
          <t>No</t>
        </is>
      </c>
      <c r="F206" t="inlineStr">
        <is>
          <t>Thai / foreign cuisine – wrong flavour for a Chettinad paste</t>
        </is>
      </c>
      <c r="G206" t="inlineStr">
        <is>
          <t>Generic</t>
        </is>
      </c>
      <c r="H206" t="inlineStr">
        <is>
          <t>High / Commercial</t>
        </is>
      </c>
    </row>
    <row r="207">
      <c r="A207" t="inlineStr">
        <is>
          <t>wok n roll cooking paste</t>
        </is>
      </c>
      <c r="C207" t="inlineStr">
        <is>
          <t>No</t>
        </is>
      </c>
      <c r="F207" t="inlineStr">
        <is>
          <t>Pack size / diet / unrelated product</t>
        </is>
      </c>
      <c r="G207" t="inlineStr">
        <is>
          <t>Generic</t>
        </is>
      </c>
      <c r="H207" t="inlineStr">
        <is>
          <t>High / Commercial</t>
        </is>
      </c>
    </row>
    <row r="208">
      <c r="A208" t="inlineStr">
        <is>
          <t>yerchi coorg pork curry paste</t>
        </is>
      </c>
      <c r="C208" t="inlineStr">
        <is>
          <t>No</t>
        </is>
      </c>
      <c r="F208" t="inlineStr">
        <is>
          <t>Pack size / diet / unrelated product</t>
        </is>
      </c>
      <c r="G208" t="inlineStr">
        <is>
          <t>Generic</t>
        </is>
      </c>
      <c r="H208" t="inlineStr">
        <is>
          <t>High / Commercial</t>
        </is>
      </c>
    </row>
    <row r="209">
      <c r="A209" t="inlineStr">
        <is>
          <t>curryit</t>
        </is>
      </c>
      <c r="B209" t="n">
        <v>1300</v>
      </c>
      <c r="D209" t="inlineStr">
        <is>
          <t>Brand</t>
        </is>
      </c>
      <c r="E209" t="inlineStr">
        <is>
          <t xml:space="preserve">Brand </t>
        </is>
      </c>
      <c r="F209" t="inlineStr">
        <is>
          <t>Brand keyword – directly searches for CURRYiT</t>
        </is>
      </c>
      <c r="G209" t="inlineStr">
        <is>
          <t>Brand</t>
        </is>
      </c>
      <c r="H209" t="inlineStr">
        <is>
          <t>Generic / Mixed</t>
        </is>
      </c>
    </row>
    <row r="210">
      <c r="A210" t="inlineStr">
        <is>
          <t>Curryit paste</t>
        </is>
      </c>
      <c r="D210" t="inlineStr">
        <is>
          <t>Brand</t>
        </is>
      </c>
      <c r="E210" t="inlineStr">
        <is>
          <t xml:space="preserve">Brand </t>
        </is>
      </c>
      <c r="F210" t="inlineStr">
        <is>
          <t>Brand keyword – directly searches for CURRYiT paste</t>
        </is>
      </c>
      <c r="G210" t="inlineStr">
        <is>
          <t>Brand</t>
        </is>
      </c>
      <c r="H210" t="inlineStr">
        <is>
          <t>High / Commercial</t>
        </is>
      </c>
    </row>
    <row r="211">
      <c r="A211" t="inlineStr">
        <is>
          <t>curry it</t>
        </is>
      </c>
      <c r="B211" t="n">
        <v>2400</v>
      </c>
      <c r="D211" t="inlineStr">
        <is>
          <t>Brand</t>
        </is>
      </c>
      <c r="E211" t="inlineStr">
        <is>
          <t xml:space="preserve">Brand </t>
        </is>
      </c>
      <c r="F211" t="inlineStr">
        <is>
          <t>Brand keyword – alternate spelling of CURRYiT</t>
        </is>
      </c>
      <c r="G211" t="inlineStr">
        <is>
          <t>Brand</t>
        </is>
      </c>
      <c r="H211" t="inlineStr">
        <is>
          <t>Generic / Mixed</t>
        </is>
      </c>
    </row>
    <row r="212">
      <c r="A212" t="inlineStr">
        <is>
          <t>best chicken masala</t>
        </is>
      </c>
      <c r="B212" t="n">
        <v>720</v>
      </c>
      <c r="G212" t="inlineStr">
        <is>
          <t>Generic</t>
        </is>
      </c>
      <c r="H212" t="inlineStr">
        <is>
          <t>High / Commercial</t>
        </is>
      </c>
    </row>
    <row r="213">
      <c r="A213" t="inlineStr">
        <is>
          <t>curry paste for chicken</t>
        </is>
      </c>
      <c r="B213" t="n">
        <v>140</v>
      </c>
      <c r="G213" t="inlineStr">
        <is>
          <t>Generic</t>
        </is>
      </c>
      <c r="H213" t="inlineStr">
        <is>
          <t>High / Commercial</t>
        </is>
      </c>
    </row>
    <row r="214">
      <c r="A214" t="inlineStr">
        <is>
          <t>indian curry sauce</t>
        </is>
      </c>
      <c r="B214" t="n">
        <v>110</v>
      </c>
      <c r="G214" t="inlineStr">
        <is>
          <t>Generic</t>
        </is>
      </c>
      <c r="H214" t="inlineStr">
        <is>
          <t>High / Commercial</t>
        </is>
      </c>
    </row>
    <row r="215">
      <c r="A215" t="inlineStr">
        <is>
          <t>instant chicken biryani</t>
        </is>
      </c>
      <c r="B215" t="n">
        <v>110</v>
      </c>
      <c r="G215" t="inlineStr">
        <is>
          <t>Generic</t>
        </is>
      </c>
      <c r="H215" t="inlineStr">
        <is>
          <t>High / Commercial</t>
        </is>
      </c>
    </row>
    <row r="216">
      <c r="A216" t="inlineStr">
        <is>
          <t>instant chicken curry</t>
        </is>
      </c>
      <c r="B216" t="n">
        <v>110</v>
      </c>
      <c r="G216" t="inlineStr">
        <is>
          <t>Generic</t>
        </is>
      </c>
      <c r="H216" t="inlineStr">
        <is>
          <t>High / Commercial</t>
        </is>
      </c>
    </row>
    <row r="217">
      <c r="A217" t="inlineStr">
        <is>
          <t>instant chicken masala</t>
        </is>
      </c>
      <c r="B217" t="n">
        <v>90</v>
      </c>
      <c r="G217" t="inlineStr">
        <is>
          <t>Generic</t>
        </is>
      </c>
      <c r="H217" t="inlineStr">
        <is>
          <t>High / Commercial</t>
        </is>
      </c>
    </row>
    <row r="218">
      <c r="A218" t="inlineStr">
        <is>
          <t>chicken curry mix</t>
        </is>
      </c>
      <c r="B218" t="n">
        <v>70</v>
      </c>
      <c r="G218" t="inlineStr">
        <is>
          <t>Generic</t>
        </is>
      </c>
      <c r="H218" t="inlineStr">
        <is>
          <t>High / Commercial</t>
        </is>
      </c>
    </row>
    <row r="219">
      <c r="A219" t="inlineStr">
        <is>
          <t>best chicken curry masala</t>
        </is>
      </c>
      <c r="B219" t="n">
        <v>50</v>
      </c>
      <c r="G219" t="inlineStr">
        <is>
          <t>Generic</t>
        </is>
      </c>
      <c r="H219" t="inlineStr">
        <is>
          <t>High / Commercial</t>
        </is>
      </c>
    </row>
    <row r="220">
      <c r="A220" t="inlineStr">
        <is>
          <t>chicken masala online</t>
        </is>
      </c>
      <c r="B220" t="n">
        <v>50</v>
      </c>
      <c r="G220" t="inlineStr">
        <is>
          <t>Generic</t>
        </is>
      </c>
      <c r="H220" t="inlineStr">
        <is>
          <t>High / Commercial</t>
        </is>
      </c>
    </row>
    <row r="221">
      <c r="A221" t="inlineStr">
        <is>
          <t>instant butter chicken</t>
        </is>
      </c>
      <c r="B221" t="n">
        <v>40</v>
      </c>
      <c r="G221" t="inlineStr">
        <is>
          <t>Generic</t>
        </is>
      </c>
      <c r="H221" t="inlineStr">
        <is>
          <t>High / Commercial</t>
        </is>
      </c>
    </row>
    <row r="222">
      <c r="A222" t="inlineStr">
        <is>
          <t>chicken tikka masala online</t>
        </is>
      </c>
      <c r="B222" t="n">
        <v>30</v>
      </c>
      <c r="G222" t="inlineStr">
        <is>
          <t>Generic</t>
        </is>
      </c>
      <c r="H222" t="inlineStr">
        <is>
          <t>High / Commercial</t>
        </is>
      </c>
    </row>
    <row r="223">
      <c r="A223" t="inlineStr">
        <is>
          <t>ready made curry paste</t>
        </is>
      </c>
      <c r="B223" t="n">
        <v>30</v>
      </c>
      <c r="G223" t="inlineStr">
        <is>
          <t>Generic</t>
        </is>
      </c>
      <c r="H223" t="inlineStr">
        <is>
          <t>High / Commercial</t>
        </is>
      </c>
    </row>
    <row r="224">
      <c r="A224" t="inlineStr">
        <is>
          <t>ready to cook butter chicken</t>
        </is>
      </c>
      <c r="B224" t="n">
        <v>30</v>
      </c>
      <c r="G224" t="inlineStr">
        <is>
          <t>Generic</t>
        </is>
      </c>
      <c r="H224" t="inlineStr">
        <is>
          <t>High / Commercial</t>
        </is>
      </c>
    </row>
    <row r="225">
      <c r="A225" t="inlineStr">
        <is>
          <t>butter chicken masala online</t>
        </is>
      </c>
      <c r="B225" t="n">
        <v>20</v>
      </c>
      <c r="G225" t="inlineStr">
        <is>
          <t>Generic</t>
        </is>
      </c>
      <c r="H225" t="inlineStr">
        <is>
          <t>High / Commercial</t>
        </is>
      </c>
    </row>
    <row r="226">
      <c r="A226" t="inlineStr">
        <is>
          <t>curry paste near me</t>
        </is>
      </c>
      <c r="B226" t="n">
        <v>20</v>
      </c>
      <c r="G226" t="inlineStr">
        <is>
          <t>Generic</t>
        </is>
      </c>
      <c r="H226" t="inlineStr">
        <is>
          <t>High / Commercial</t>
        </is>
      </c>
    </row>
    <row r="227">
      <c r="A227" t="inlineStr">
        <is>
          <t>ready to cook chicken tikka</t>
        </is>
      </c>
      <c r="B227" t="n">
        <v>20</v>
      </c>
      <c r="G227" t="inlineStr">
        <is>
          <t>Generic</t>
        </is>
      </c>
      <c r="H227" t="inlineStr">
        <is>
          <t>High / Commercial</t>
        </is>
      </c>
    </row>
    <row r="228">
      <c r="A228" t="inlineStr">
        <is>
          <t>best chicken curry sauce</t>
        </is>
      </c>
      <c r="B228" t="n">
        <v>10</v>
      </c>
      <c r="G228" t="inlineStr">
        <is>
          <t>Generic</t>
        </is>
      </c>
      <c r="H228" t="inlineStr">
        <is>
          <t>High / Commercial</t>
        </is>
      </c>
    </row>
    <row r="229">
      <c r="A229" t="inlineStr">
        <is>
          <t>best indian curry paste</t>
        </is>
      </c>
      <c r="B229" t="n">
        <v>10</v>
      </c>
      <c r="G229" t="inlineStr">
        <is>
          <t>Generic</t>
        </is>
      </c>
      <c r="H229" t="inlineStr">
        <is>
          <t>High / Commercial</t>
        </is>
      </c>
    </row>
    <row r="230">
      <c r="A230" t="inlineStr">
        <is>
          <t>butter chicken curry sauce</t>
        </is>
      </c>
      <c r="B230" t="n">
        <v>10</v>
      </c>
      <c r="G230" t="inlineStr">
        <is>
          <t>Generic</t>
        </is>
      </c>
      <c r="H230" t="inlineStr">
        <is>
          <t>High / Commercial</t>
        </is>
      </c>
    </row>
    <row r="231">
      <c r="A231" t="inlineStr">
        <is>
          <t>butter chicken sauce online</t>
        </is>
      </c>
      <c r="B231" t="n">
        <v>10</v>
      </c>
      <c r="G231" t="inlineStr">
        <is>
          <t>Generic</t>
        </is>
      </c>
      <c r="H231" t="inlineStr">
        <is>
          <t>High / Commercial</t>
        </is>
      </c>
    </row>
    <row r="232">
      <c r="A232" t="inlineStr">
        <is>
          <t>buy curry paste online</t>
        </is>
      </c>
      <c r="B232" t="n">
        <v>10</v>
      </c>
      <c r="G232" t="inlineStr">
        <is>
          <t>Generic</t>
        </is>
      </c>
      <c r="H232" t="inlineStr">
        <is>
          <t>High / Commercial</t>
        </is>
      </c>
    </row>
    <row r="233">
      <c r="A233" t="inlineStr">
        <is>
          <t>chicken biryani masala online</t>
        </is>
      </c>
      <c r="B233" t="n">
        <v>10</v>
      </c>
      <c r="G233" t="inlineStr">
        <is>
          <t>Generic</t>
        </is>
      </c>
      <c r="H233" t="inlineStr">
        <is>
          <t>High / Commercial</t>
        </is>
      </c>
    </row>
    <row r="234">
      <c r="A234" t="inlineStr">
        <is>
          <t>chicken curry kit</t>
        </is>
      </c>
      <c r="B234" t="n">
        <v>10</v>
      </c>
      <c r="G234" t="inlineStr">
        <is>
          <t>Generic</t>
        </is>
      </c>
      <c r="H234" t="inlineStr">
        <is>
          <t>Generic / Mixed</t>
        </is>
      </c>
    </row>
    <row r="235">
      <c r="A235" t="inlineStr">
        <is>
          <t>chicken curry seasoning</t>
        </is>
      </c>
      <c r="B235" t="n">
        <v>10</v>
      </c>
      <c r="G235" t="inlineStr">
        <is>
          <t>Generic</t>
        </is>
      </c>
      <c r="H235" t="inlineStr">
        <is>
          <t>Generic / Mixed</t>
        </is>
      </c>
    </row>
    <row r="236">
      <c r="A236" t="inlineStr">
        <is>
          <t>indian chicken curry paste</t>
        </is>
      </c>
      <c r="B236" t="n">
        <v>10</v>
      </c>
      <c r="G236" t="inlineStr">
        <is>
          <t>Generic</t>
        </is>
      </c>
      <c r="H236" t="inlineStr">
        <is>
          <t>High / Commercial</t>
        </is>
      </c>
    </row>
    <row r="237">
      <c r="A237" t="inlineStr">
        <is>
          <t>indian chicken curry sauce</t>
        </is>
      </c>
      <c r="B237" t="n">
        <v>10</v>
      </c>
      <c r="G237" t="inlineStr">
        <is>
          <t>Generic</t>
        </is>
      </c>
      <c r="H237" t="inlineStr">
        <is>
          <t>High / Commercial</t>
        </is>
      </c>
    </row>
    <row r="238">
      <c r="A238" t="inlineStr">
        <is>
          <t>indian masala paste</t>
        </is>
      </c>
      <c r="B238" t="n">
        <v>10</v>
      </c>
      <c r="G238" t="inlineStr">
        <is>
          <t>Generic</t>
        </is>
      </c>
      <c r="H238" t="inlineStr">
        <is>
          <t>High / Commercial</t>
        </is>
      </c>
    </row>
    <row r="239">
      <c r="A239" t="inlineStr">
        <is>
          <t>instant chicken curry paste</t>
        </is>
      </c>
      <c r="B239" t="n">
        <v>10</v>
      </c>
      <c r="G239" t="inlineStr">
        <is>
          <t>Generic</t>
        </is>
      </c>
      <c r="H239" t="inlineStr">
        <is>
          <t>High / Commercial</t>
        </is>
      </c>
    </row>
    <row r="240">
      <c r="A240" t="inlineStr">
        <is>
          <t>ready made butter chicken</t>
        </is>
      </c>
      <c r="B240" t="n">
        <v>10</v>
      </c>
      <c r="G240" t="inlineStr">
        <is>
          <t>Generic</t>
        </is>
      </c>
      <c r="H240" t="inlineStr">
        <is>
          <t>High / Commercial</t>
        </is>
      </c>
    </row>
    <row r="241">
      <c r="A241" t="inlineStr">
        <is>
          <t>ready made chicken tikka</t>
        </is>
      </c>
      <c r="B241" t="n">
        <v>10</v>
      </c>
      <c r="G241" t="inlineStr">
        <is>
          <t>Generic</t>
        </is>
      </c>
      <c r="H241" t="inlineStr">
        <is>
          <t>High / Commercial</t>
        </is>
      </c>
    </row>
    <row r="242">
      <c r="A242" t="inlineStr">
        <is>
          <t>ready made indian curry</t>
        </is>
      </c>
      <c r="B242" t="n">
        <v>10</v>
      </c>
      <c r="G242" t="inlineStr">
        <is>
          <t>Generic</t>
        </is>
      </c>
      <c r="H242" t="inlineStr">
        <is>
          <t>High / Commercial</t>
        </is>
      </c>
    </row>
    <row r="243">
      <c r="A243" t="inlineStr">
        <is>
          <t>ready to make chicken curry</t>
        </is>
      </c>
      <c r="B243" t="n">
        <v>10</v>
      </c>
      <c r="G243" t="inlineStr">
        <is>
          <t>Generic</t>
        </is>
      </c>
      <c r="H243" t="inlineStr">
        <is>
          <t>Generic / Mixed</t>
        </is>
      </c>
    </row>
  </sheetData>
  <autoFilter ref="A1:H243"/>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06"/>
  <sheetViews>
    <sheetView workbookViewId="0">
      <selection activeCell="G9" sqref="G9"/>
    </sheetView>
  </sheetViews>
  <sheetFormatPr baseColWidth="8" defaultRowHeight="14.4"/>
  <cols>
    <col width="41.21875" customWidth="1" min="1" max="1"/>
  </cols>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curry paste thai</t>
        </is>
      </c>
      <c r="B2" t="n">
        <v>3600</v>
      </c>
      <c r="C2" t="inlineStr">
        <is>
          <t>No</t>
        </is>
      </c>
      <c r="F2" t="inlineStr">
        <is>
          <t>Thai / foreign cuisine – wrong flavour for a Chettinad paste</t>
        </is>
      </c>
      <c r="G2" t="inlineStr">
        <is>
          <t>Generic</t>
        </is>
      </c>
      <c r="H2" t="inlineStr">
        <is>
          <t>High / Commercial</t>
        </is>
      </c>
    </row>
    <row r="3">
      <c r="A3" t="inlineStr">
        <is>
          <t>thai curry paste</t>
        </is>
      </c>
      <c r="B3" t="n">
        <v>3600</v>
      </c>
      <c r="C3" t="inlineStr">
        <is>
          <t>No</t>
        </is>
      </c>
      <c r="F3" t="inlineStr">
        <is>
          <t>Thai / foreign cuisine – wrong flavour for a Chettinad paste</t>
        </is>
      </c>
      <c r="G3" t="inlineStr">
        <is>
          <t>Generic</t>
        </is>
      </c>
      <c r="H3" t="inlineStr">
        <is>
          <t>High / Commercial</t>
        </is>
      </c>
    </row>
    <row r="4">
      <c r="A4" t="inlineStr">
        <is>
          <t>thai green curry paste</t>
        </is>
      </c>
      <c r="B4" t="n">
        <v>2900</v>
      </c>
      <c r="C4" t="inlineStr">
        <is>
          <t>No</t>
        </is>
      </c>
      <c r="F4" t="inlineStr">
        <is>
          <t>Thai / foreign cuisine – wrong flavour for a Chettinad paste</t>
        </is>
      </c>
      <c r="G4" t="inlineStr">
        <is>
          <t>Generic</t>
        </is>
      </c>
      <c r="H4" t="inlineStr">
        <is>
          <t>High / Commercial</t>
        </is>
      </c>
    </row>
    <row r="5">
      <c r="A5" t="inlineStr">
        <is>
          <t>thai red curry paste</t>
        </is>
      </c>
      <c r="B5" t="n">
        <v>2400</v>
      </c>
      <c r="C5" t="inlineStr">
        <is>
          <t>No</t>
        </is>
      </c>
      <c r="F5" t="inlineStr">
        <is>
          <t>Thai / foreign cuisine – wrong flavour for a Chettinad paste</t>
        </is>
      </c>
      <c r="G5" t="inlineStr">
        <is>
          <t>Generic</t>
        </is>
      </c>
      <c r="H5" t="inlineStr">
        <is>
          <t>High / Commercial</t>
        </is>
      </c>
    </row>
    <row r="6">
      <c r="A6" t="inlineStr">
        <is>
          <t>chicken curry masala</t>
        </is>
      </c>
      <c r="B6" t="n">
        <v>1300</v>
      </c>
      <c r="C6" t="inlineStr">
        <is>
          <t>Yes</t>
        </is>
      </c>
      <c r="D6" t="inlineStr">
        <is>
          <t>Generic</t>
        </is>
      </c>
      <c r="E6" t="inlineStr">
        <is>
          <t>Chicken Curry Masala</t>
        </is>
      </c>
      <c r="F6" t="inlineStr">
        <is>
          <t>Same cooking need (chicken curry)</t>
        </is>
      </c>
      <c r="G6" t="inlineStr">
        <is>
          <t>Generic</t>
        </is>
      </c>
      <c r="H6" t="inlineStr">
        <is>
          <t>High / Commercial</t>
        </is>
      </c>
    </row>
    <row r="7">
      <c r="A7" t="inlineStr">
        <is>
          <t>chettinad masala</t>
        </is>
      </c>
      <c r="B7" t="n">
        <v>1000</v>
      </c>
      <c r="C7" t="inlineStr">
        <is>
          <t>Yes</t>
        </is>
      </c>
      <c r="D7" t="inlineStr">
        <is>
          <t>Generic</t>
        </is>
      </c>
      <c r="E7" t="inlineStr">
        <is>
          <t>Chettinad</t>
        </is>
      </c>
      <c r="F7" t="inlineStr">
        <is>
          <t>Exact cuisine match</t>
        </is>
      </c>
      <c r="G7" t="inlineStr">
        <is>
          <t>Generic</t>
        </is>
      </c>
      <c r="H7" t="inlineStr">
        <is>
          <t>High / Commercial</t>
        </is>
      </c>
    </row>
    <row r="8">
      <c r="A8" t="inlineStr">
        <is>
          <t>chicken chettinad masala</t>
        </is>
      </c>
      <c r="B8" t="n">
        <v>720</v>
      </c>
      <c r="C8" t="inlineStr">
        <is>
          <t>Yes</t>
        </is>
      </c>
      <c r="D8" t="inlineStr">
        <is>
          <t>Generic</t>
        </is>
      </c>
      <c r="E8" t="inlineStr">
        <is>
          <t>Chettinad</t>
        </is>
      </c>
      <c r="F8" t="inlineStr">
        <is>
          <t>Exact cuisine match</t>
        </is>
      </c>
      <c r="G8" t="inlineStr">
        <is>
          <t>Generic</t>
        </is>
      </c>
      <c r="H8" t="inlineStr">
        <is>
          <t>High / Commercial</t>
        </is>
      </c>
    </row>
    <row r="9">
      <c r="A9" t="inlineStr">
        <is>
          <t>red curry paste</t>
        </is>
      </c>
      <c r="B9" t="n">
        <v>720</v>
      </c>
      <c r="C9" t="inlineStr">
        <is>
          <t>No</t>
        </is>
      </c>
      <c r="F9" t="inlineStr">
        <is>
          <t>Thai / foreign cuisine – wrong flavour for a Chettinad paste</t>
        </is>
      </c>
      <c r="G9" t="inlineStr">
        <is>
          <t>Generic</t>
        </is>
      </c>
      <c r="H9" t="inlineStr">
        <is>
          <t>High / Commercial</t>
        </is>
      </c>
    </row>
    <row r="10">
      <c r="A10" t="inlineStr">
        <is>
          <t>green curry paste</t>
        </is>
      </c>
      <c r="B10" t="n">
        <v>590</v>
      </c>
      <c r="C10" t="inlineStr">
        <is>
          <t>No</t>
        </is>
      </c>
      <c r="F10" t="inlineStr">
        <is>
          <t>Thai / foreign cuisine – wrong flavour for a Chettinad paste</t>
        </is>
      </c>
      <c r="G10" t="inlineStr">
        <is>
          <t>Generic</t>
        </is>
      </c>
      <c r="H10" t="inlineStr">
        <is>
          <t>High / Commercial</t>
        </is>
      </c>
    </row>
    <row r="11">
      <c r="A11" t="inlineStr">
        <is>
          <t>real thai red curry paste</t>
        </is>
      </c>
      <c r="B11" t="n">
        <v>590</v>
      </c>
      <c r="C11" t="inlineStr">
        <is>
          <t>No</t>
        </is>
      </c>
      <c r="F11" t="inlineStr">
        <is>
          <t>Thai / foreign cuisine – wrong flavour for a Chettinad paste</t>
        </is>
      </c>
      <c r="G11" t="inlineStr">
        <is>
          <t>Generic</t>
        </is>
      </c>
      <c r="H11" t="inlineStr">
        <is>
          <t>High / Commercial</t>
        </is>
      </c>
    </row>
    <row r="12">
      <c r="A12" t="inlineStr">
        <is>
          <t>massaman curry paste</t>
        </is>
      </c>
      <c r="B12" t="n">
        <v>480</v>
      </c>
      <c r="C12" t="inlineStr">
        <is>
          <t>No</t>
        </is>
      </c>
      <c r="F12" t="inlineStr">
        <is>
          <t>Thai / foreign cuisine – wrong flavour for a Chettinad paste</t>
        </is>
      </c>
      <c r="G12" t="inlineStr">
        <is>
          <t>Generic</t>
        </is>
      </c>
      <c r="H12" t="inlineStr">
        <is>
          <t>High / Commercial</t>
        </is>
      </c>
    </row>
    <row r="13">
      <c r="A13" t="inlineStr">
        <is>
          <t>curry paste</t>
        </is>
      </c>
      <c r="B13" t="n">
        <v>390</v>
      </c>
      <c r="C13" t="inlineStr">
        <is>
          <t>Yes</t>
        </is>
      </c>
      <c r="D13" t="inlineStr">
        <is>
          <t>Generic</t>
        </is>
      </c>
      <c r="E13" t="inlineStr">
        <is>
          <t>Curry Paste / Ready to Cook</t>
        </is>
      </c>
      <c r="F13" t="inlineStr">
        <is>
          <t>Format match (paste / ready-to-cook)</t>
        </is>
      </c>
      <c r="G13" t="inlineStr">
        <is>
          <t>Generic</t>
        </is>
      </c>
      <c r="H13" t="inlineStr">
        <is>
          <t>High / Commercial</t>
        </is>
      </c>
    </row>
    <row r="14">
      <c r="A14" t="inlineStr">
        <is>
          <t>real thai green curry paste</t>
        </is>
      </c>
      <c r="B14" t="n">
        <v>390</v>
      </c>
      <c r="C14" t="inlineStr">
        <is>
          <t>No</t>
        </is>
      </c>
      <c r="F14" t="inlineStr">
        <is>
          <t>Thai / foreign cuisine – wrong flavour for a Chettinad paste</t>
        </is>
      </c>
      <c r="G14" t="inlineStr">
        <is>
          <t>Generic</t>
        </is>
      </c>
      <c r="H14" t="inlineStr">
        <is>
          <t>High / Commercial</t>
        </is>
      </c>
    </row>
    <row r="15">
      <c r="A15" t="inlineStr">
        <is>
          <t>thai yellow curry paste</t>
        </is>
      </c>
      <c r="B15" t="n">
        <v>320</v>
      </c>
      <c r="C15" t="inlineStr">
        <is>
          <t>No</t>
        </is>
      </c>
      <c r="F15" t="inlineStr">
        <is>
          <t>Thai / foreign cuisine – wrong flavour for a Chettinad paste</t>
        </is>
      </c>
      <c r="G15" t="inlineStr">
        <is>
          <t>Generic</t>
        </is>
      </c>
      <c r="H15" t="inlineStr">
        <is>
          <t>High / Commercial</t>
        </is>
      </c>
    </row>
    <row r="16">
      <c r="A16" t="inlineStr">
        <is>
          <t>yellow curry paste</t>
        </is>
      </c>
      <c r="B16" t="n">
        <v>260</v>
      </c>
      <c r="C16" t="inlineStr">
        <is>
          <t>No</t>
        </is>
      </c>
      <c r="F16" t="inlineStr">
        <is>
          <t>Thai / foreign cuisine – wrong flavour for a Chettinad paste</t>
        </is>
      </c>
      <c r="G16" t="inlineStr">
        <is>
          <t>Generic</t>
        </is>
      </c>
      <c r="H16" t="inlineStr">
        <is>
          <t>High / Commercial</t>
        </is>
      </c>
    </row>
    <row r="17">
      <c r="A17" t="inlineStr">
        <is>
          <t>chicken curry masala powder</t>
        </is>
      </c>
      <c r="B17" t="n">
        <v>170</v>
      </c>
      <c r="C17" t="inlineStr">
        <is>
          <t>Yes</t>
        </is>
      </c>
      <c r="D17" t="inlineStr">
        <is>
          <t>Generic</t>
        </is>
      </c>
      <c r="E17" t="inlineStr">
        <is>
          <t>Chicken Curry Masala</t>
        </is>
      </c>
      <c r="F17" t="inlineStr">
        <is>
          <t>Same cooking need (chicken curry)</t>
        </is>
      </c>
      <c r="G17" t="inlineStr">
        <is>
          <t>Generic</t>
        </is>
      </c>
      <c r="H17" t="inlineStr">
        <is>
          <t>High / Commercial</t>
        </is>
      </c>
    </row>
    <row r="18">
      <c r="A18" t="inlineStr">
        <is>
          <t>maesri thai curry paste</t>
        </is>
      </c>
      <c r="B18" t="n">
        <v>170</v>
      </c>
      <c r="C18" t="inlineStr">
        <is>
          <t>No</t>
        </is>
      </c>
      <c r="F18" t="inlineStr">
        <is>
          <t>Thai / foreign cuisine – wrong flavour for a Chettinad paste</t>
        </is>
      </c>
      <c r="G18" t="inlineStr">
        <is>
          <t>Generic</t>
        </is>
      </c>
      <c r="H18" t="inlineStr">
        <is>
          <t>High / Commercial</t>
        </is>
      </c>
    </row>
    <row r="19">
      <c r="A19" t="inlineStr">
        <is>
          <t>namjai green curry paste</t>
        </is>
      </c>
      <c r="B19" t="n">
        <v>170</v>
      </c>
      <c r="C19" t="inlineStr">
        <is>
          <t>No</t>
        </is>
      </c>
      <c r="F19" t="inlineStr">
        <is>
          <t>Thai / foreign cuisine – wrong flavour for a Chettinad paste</t>
        </is>
      </c>
      <c r="G19" t="inlineStr">
        <is>
          <t>Generic</t>
        </is>
      </c>
      <c r="H19" t="inlineStr">
        <is>
          <t>High / Commercial</t>
        </is>
      </c>
    </row>
    <row r="20">
      <c r="A20" t="inlineStr">
        <is>
          <t>real thai curry paste</t>
        </is>
      </c>
      <c r="B20" t="n">
        <v>170</v>
      </c>
      <c r="C20" t="inlineStr">
        <is>
          <t>No</t>
        </is>
      </c>
      <c r="F20" t="inlineStr">
        <is>
          <t>Thai / foreign cuisine – wrong flavour for a Chettinad paste</t>
        </is>
      </c>
      <c r="G20" t="inlineStr">
        <is>
          <t>Generic</t>
        </is>
      </c>
      <c r="H20" t="inlineStr">
        <is>
          <t>High / Commercial</t>
        </is>
      </c>
    </row>
    <row r="21">
      <c r="A21" t="inlineStr">
        <is>
          <t>chettinad masala powder</t>
        </is>
      </c>
      <c r="B21" t="n">
        <v>140</v>
      </c>
      <c r="C21" t="inlineStr">
        <is>
          <t>Yes</t>
        </is>
      </c>
      <c r="D21" t="inlineStr">
        <is>
          <t>Generic</t>
        </is>
      </c>
      <c r="E21" t="inlineStr">
        <is>
          <t>Chettinad</t>
        </is>
      </c>
      <c r="F21" t="inlineStr">
        <is>
          <t>Exact cuisine match</t>
        </is>
      </c>
      <c r="G21" t="inlineStr">
        <is>
          <t>Generic</t>
        </is>
      </c>
      <c r="H21" t="inlineStr">
        <is>
          <t>High / Commercial</t>
        </is>
      </c>
    </row>
    <row r="22">
      <c r="A22" t="inlineStr">
        <is>
          <t>sunrise chicken curry masala</t>
        </is>
      </c>
      <c r="B22" t="n">
        <v>140</v>
      </c>
      <c r="C22" t="inlineStr">
        <is>
          <t>Yes</t>
        </is>
      </c>
      <c r="D22" t="inlineStr">
        <is>
          <t>Competitor</t>
        </is>
      </c>
      <c r="E22" t="inlineStr">
        <is>
          <t>Chicken Curry Masala Brands</t>
        </is>
      </c>
      <c r="F22" t="inlineStr">
        <is>
          <t>Competitor brand, chicken curry masala</t>
        </is>
      </c>
      <c r="G22" t="inlineStr">
        <is>
          <t>Generic</t>
        </is>
      </c>
      <c r="H22" t="inlineStr">
        <is>
          <t>High / Commercial</t>
        </is>
      </c>
    </row>
    <row r="23">
      <c r="A23" t="inlineStr">
        <is>
          <t>chettinad chicken masala powder</t>
        </is>
      </c>
      <c r="B23" t="n">
        <v>110</v>
      </c>
      <c r="C23" t="inlineStr">
        <is>
          <t>Yes</t>
        </is>
      </c>
      <c r="D23" t="inlineStr">
        <is>
          <t>Generic</t>
        </is>
      </c>
      <c r="E23" t="inlineStr">
        <is>
          <t>Chettinad</t>
        </is>
      </c>
      <c r="F23" t="inlineStr">
        <is>
          <t>Exact cuisine match</t>
        </is>
      </c>
      <c r="G23" t="inlineStr">
        <is>
          <t>Generic</t>
        </is>
      </c>
      <c r="H23" t="inlineStr">
        <is>
          <t>High / Commercial</t>
        </is>
      </c>
    </row>
    <row r="24">
      <c r="A24" t="inlineStr">
        <is>
          <t>cookd chettinad masala</t>
        </is>
      </c>
      <c r="B24" t="n">
        <v>110</v>
      </c>
      <c r="C24" t="inlineStr">
        <is>
          <t>Yes</t>
        </is>
      </c>
      <c r="D24" t="inlineStr">
        <is>
          <t>Competitor</t>
        </is>
      </c>
      <c r="E24" t="inlineStr">
        <is>
          <t>Chettinad Competitors</t>
        </is>
      </c>
      <c r="F24" t="inlineStr">
        <is>
          <t>Competitor brand + Chettinad</t>
        </is>
      </c>
      <c r="G24" t="inlineStr">
        <is>
          <t>Generic</t>
        </is>
      </c>
      <c r="H24" t="inlineStr">
        <is>
          <t>High / Commercial</t>
        </is>
      </c>
    </row>
    <row r="25">
      <c r="A25" t="inlineStr">
        <is>
          <t>curry leaves paste</t>
        </is>
      </c>
      <c r="B25" t="n">
        <v>110</v>
      </c>
      <c r="C25" t="inlineStr">
        <is>
          <t>No</t>
        </is>
      </c>
      <c r="F25" t="inlineStr">
        <is>
          <t>Single-ingredient paste, not a curry</t>
        </is>
      </c>
      <c r="G25" t="inlineStr">
        <is>
          <t>Generic</t>
        </is>
      </c>
      <c r="H25" t="inlineStr">
        <is>
          <t>High / Commercial</t>
        </is>
      </c>
    </row>
    <row r="26">
      <c r="A26" t="inlineStr">
        <is>
          <t>chettinad biryani masala</t>
        </is>
      </c>
      <c r="B26" t="n">
        <v>90</v>
      </c>
      <c r="C26" t="inlineStr">
        <is>
          <t>No</t>
        </is>
      </c>
      <c r="F26" t="inlineStr">
        <is>
          <t>Biryani – different dish</t>
        </is>
      </c>
      <c r="G26" t="inlineStr">
        <is>
          <t>Generic</t>
        </is>
      </c>
      <c r="H26" t="inlineStr">
        <is>
          <t>High / Commercial</t>
        </is>
      </c>
    </row>
    <row r="27">
      <c r="A27" t="inlineStr">
        <is>
          <t>curry paste indian</t>
        </is>
      </c>
      <c r="B27" t="n">
        <v>90</v>
      </c>
      <c r="C27" t="inlineStr">
        <is>
          <t>Yes</t>
        </is>
      </c>
      <c r="D27" t="inlineStr">
        <is>
          <t>Generic</t>
        </is>
      </c>
      <c r="E27" t="inlineStr">
        <is>
          <t>Curry Paste / Ready to Cook</t>
        </is>
      </c>
      <c r="F27" t="inlineStr">
        <is>
          <t>Format match (paste / ready-to-cook)</t>
        </is>
      </c>
      <c r="G27" t="inlineStr">
        <is>
          <t>Generic</t>
        </is>
      </c>
      <c r="H27" t="inlineStr">
        <is>
          <t>High / Commercial</t>
        </is>
      </c>
    </row>
    <row r="28">
      <c r="A28" t="inlineStr">
        <is>
          <t>namjai red curry paste</t>
        </is>
      </c>
      <c r="B28" t="n">
        <v>90</v>
      </c>
      <c r="C28" t="inlineStr">
        <is>
          <t>No</t>
        </is>
      </c>
      <c r="F28" t="inlineStr">
        <is>
          <t>Thai / foreign cuisine – wrong flavour for a Chettinad paste</t>
        </is>
      </c>
      <c r="G28" t="inlineStr">
        <is>
          <t>Generic</t>
        </is>
      </c>
      <c r="H28" t="inlineStr">
        <is>
          <t>High / Commercial</t>
        </is>
      </c>
    </row>
    <row r="29">
      <c r="A29" t="inlineStr">
        <is>
          <t>real thai yellow curry paste</t>
        </is>
      </c>
      <c r="B29" t="n">
        <v>90</v>
      </c>
      <c r="C29" t="inlineStr">
        <is>
          <t>No</t>
        </is>
      </c>
      <c r="F29" t="inlineStr">
        <is>
          <t>Thai / foreign cuisine – wrong flavour for a Chettinad paste</t>
        </is>
      </c>
      <c r="G29" t="inlineStr">
        <is>
          <t>Generic</t>
        </is>
      </c>
      <c r="H29" t="inlineStr">
        <is>
          <t>High / Commercial</t>
        </is>
      </c>
    </row>
    <row r="30">
      <c r="A30" t="inlineStr">
        <is>
          <t>jain thai curry paste</t>
        </is>
      </c>
      <c r="B30" t="n">
        <v>70</v>
      </c>
      <c r="C30" t="inlineStr">
        <is>
          <t>No</t>
        </is>
      </c>
      <c r="F30" t="inlineStr">
        <is>
          <t>Jain / no onion-garlic; CURRYiT contains onion &amp; garlic</t>
        </is>
      </c>
      <c r="G30" t="inlineStr">
        <is>
          <t>Generic</t>
        </is>
      </c>
      <c r="H30" t="inlineStr">
        <is>
          <t>High / Commercial</t>
        </is>
      </c>
    </row>
    <row r="31">
      <c r="A31" t="inlineStr">
        <is>
          <t>katsu curry paste</t>
        </is>
      </c>
      <c r="B31" t="n">
        <v>70</v>
      </c>
      <c r="C31" t="inlineStr">
        <is>
          <t>No</t>
        </is>
      </c>
      <c r="F31" t="inlineStr">
        <is>
          <t>Thai / foreign cuisine – wrong flavour for a Chettinad paste</t>
        </is>
      </c>
      <c r="G31" t="inlineStr">
        <is>
          <t>Generic</t>
        </is>
      </c>
      <c r="H31" t="inlineStr">
        <is>
          <t>High / Commercial</t>
        </is>
      </c>
    </row>
    <row r="32">
      <c r="A32" t="inlineStr">
        <is>
          <t>namjai curry paste</t>
        </is>
      </c>
      <c r="B32" t="n">
        <v>70</v>
      </c>
      <c r="C32" t="inlineStr">
        <is>
          <t>No</t>
        </is>
      </c>
      <c r="F32" t="inlineStr">
        <is>
          <t>Thai / foreign cuisine – wrong flavour for a Chettinad paste</t>
        </is>
      </c>
      <c r="G32" t="inlineStr">
        <is>
          <t>Generic</t>
        </is>
      </c>
      <c r="H32" t="inlineStr">
        <is>
          <t>High / Commercial</t>
        </is>
      </c>
    </row>
    <row r="33">
      <c r="A33" t="inlineStr">
        <is>
          <t>namjai thai curry paste</t>
        </is>
      </c>
      <c r="B33" t="n">
        <v>70</v>
      </c>
      <c r="C33" t="inlineStr">
        <is>
          <t>No</t>
        </is>
      </c>
      <c r="F33" t="inlineStr">
        <is>
          <t>Thai / foreign cuisine – wrong flavour for a Chettinad paste</t>
        </is>
      </c>
      <c r="G33" t="inlineStr">
        <is>
          <t>Generic</t>
        </is>
      </c>
      <c r="H33" t="inlineStr">
        <is>
          <t>High / Commercial</t>
        </is>
      </c>
    </row>
    <row r="34">
      <c r="A34" t="inlineStr">
        <is>
          <t>non veg curry masala paste</t>
        </is>
      </c>
      <c r="B34" t="n">
        <v>70</v>
      </c>
      <c r="C34" t="inlineStr">
        <is>
          <t>Yes</t>
        </is>
      </c>
      <c r="D34" t="inlineStr">
        <is>
          <t>Generic</t>
        </is>
      </c>
      <c r="E34" t="inlineStr">
        <is>
          <t>Curry Paste / Ready to Cook</t>
        </is>
      </c>
      <c r="F34" t="inlineStr">
        <is>
          <t>Format match (paste / ready-to-cook)</t>
        </is>
      </c>
      <c r="G34" t="inlineStr">
        <is>
          <t>Generic</t>
        </is>
      </c>
      <c r="H34" t="inlineStr">
        <is>
          <t>High / Commercial</t>
        </is>
      </c>
    </row>
    <row r="35">
      <c r="A35" t="inlineStr">
        <is>
          <t>sakthi chettinad chicken masala</t>
        </is>
      </c>
      <c r="B35" t="n">
        <v>70</v>
      </c>
      <c r="C35" t="inlineStr">
        <is>
          <t>Yes</t>
        </is>
      </c>
      <c r="D35" t="inlineStr">
        <is>
          <t>Competitor</t>
        </is>
      </c>
      <c r="E35" t="inlineStr">
        <is>
          <t>Chettinad Competitors</t>
        </is>
      </c>
      <c r="F35" t="inlineStr">
        <is>
          <t>Competitor brand + Chettinad</t>
        </is>
      </c>
      <c r="G35" t="inlineStr">
        <is>
          <t>Generic</t>
        </is>
      </c>
      <c r="H35" t="inlineStr">
        <is>
          <t>High / Commercial</t>
        </is>
      </c>
    </row>
    <row r="36">
      <c r="A36" t="inlineStr">
        <is>
          <t>laksa curry paste</t>
        </is>
      </c>
      <c r="B36" t="n">
        <v>50</v>
      </c>
      <c r="C36" t="inlineStr">
        <is>
          <t>No</t>
        </is>
      </c>
      <c r="F36" t="inlineStr">
        <is>
          <t>Thai / foreign cuisine – wrong flavour for a Chettinad paste</t>
        </is>
      </c>
      <c r="G36" t="inlineStr">
        <is>
          <t>Generic</t>
        </is>
      </c>
      <c r="H36" t="inlineStr">
        <is>
          <t>High / Commercial</t>
        </is>
      </c>
    </row>
    <row r="37">
      <c r="A37" t="inlineStr">
        <is>
          <t>rendang curry paste</t>
        </is>
      </c>
      <c r="B37" t="n">
        <v>50</v>
      </c>
      <c r="C37" t="inlineStr">
        <is>
          <t>No</t>
        </is>
      </c>
      <c r="F37" t="inlineStr">
        <is>
          <t>Thai / foreign cuisine – wrong flavour for a Chettinad paste</t>
        </is>
      </c>
      <c r="G37" t="inlineStr">
        <is>
          <t>Generic</t>
        </is>
      </c>
      <c r="H37" t="inlineStr">
        <is>
          <t>High / Commercial</t>
        </is>
      </c>
    </row>
    <row r="38">
      <c r="A38" t="inlineStr">
        <is>
          <t>thai green curry paste vegetarian</t>
        </is>
      </c>
      <c r="B38" t="n">
        <v>50</v>
      </c>
      <c r="C38" t="inlineStr">
        <is>
          <t>No</t>
        </is>
      </c>
      <c r="F38" t="inlineStr">
        <is>
          <t>Thai / foreign cuisine – wrong flavour for a Chettinad paste</t>
        </is>
      </c>
      <c r="G38" t="inlineStr">
        <is>
          <t>Generic</t>
        </is>
      </c>
      <c r="H38" t="inlineStr">
        <is>
          <t>High / Commercial</t>
        </is>
      </c>
    </row>
    <row r="39">
      <c r="A39" t="inlineStr">
        <is>
          <t>zoff chicken curry masala</t>
        </is>
      </c>
      <c r="B39" t="n">
        <v>50</v>
      </c>
      <c r="C39" t="inlineStr">
        <is>
          <t>Yes</t>
        </is>
      </c>
      <c r="D39" t="inlineStr">
        <is>
          <t>Competitor</t>
        </is>
      </c>
      <c r="E39" t="inlineStr">
        <is>
          <t>Chicken Curry Masala Brands</t>
        </is>
      </c>
      <c r="F39" t="inlineStr">
        <is>
          <t>Competitor brand, chicken curry masala</t>
        </is>
      </c>
      <c r="G39" t="inlineStr">
        <is>
          <t>Generic</t>
        </is>
      </c>
      <c r="H39" t="inlineStr">
        <is>
          <t>High / Commercial</t>
        </is>
      </c>
    </row>
    <row r="40">
      <c r="A40" t="inlineStr">
        <is>
          <t>fish curry paste</t>
        </is>
      </c>
      <c r="B40" t="n">
        <v>40</v>
      </c>
      <c r="C40" t="inlineStr">
        <is>
          <t>No</t>
        </is>
      </c>
      <c r="F40" t="inlineStr">
        <is>
          <t>Other dish / other CURRYiT product – route elsewhere</t>
        </is>
      </c>
      <c r="G40" t="inlineStr">
        <is>
          <t>Generic</t>
        </is>
      </c>
      <c r="H40" t="inlineStr">
        <is>
          <t>High / Commercial</t>
        </is>
      </c>
    </row>
    <row r="41">
      <c r="A41" t="inlineStr">
        <is>
          <t>japanese curry paste</t>
        </is>
      </c>
      <c r="B41" t="n">
        <v>40</v>
      </c>
      <c r="C41" t="inlineStr">
        <is>
          <t>No</t>
        </is>
      </c>
      <c r="F41" t="inlineStr">
        <is>
          <t>Thai / foreign cuisine – wrong flavour for a Chettinad paste</t>
        </is>
      </c>
      <c r="G41" t="inlineStr">
        <is>
          <t>Generic</t>
        </is>
      </c>
      <c r="H41" t="inlineStr">
        <is>
          <t>High / Commercial</t>
        </is>
      </c>
    </row>
    <row r="42">
      <c r="A42" t="inlineStr">
        <is>
          <t>malaysian curry paste</t>
        </is>
      </c>
      <c r="B42" t="n">
        <v>40</v>
      </c>
      <c r="C42" t="inlineStr">
        <is>
          <t>No</t>
        </is>
      </c>
      <c r="F42" t="inlineStr">
        <is>
          <t>Thai / foreign cuisine – wrong flavour for a Chettinad paste</t>
        </is>
      </c>
      <c r="G42" t="inlineStr">
        <is>
          <t>Generic</t>
        </is>
      </c>
      <c r="H42" t="inlineStr">
        <is>
          <t>High / Commercial</t>
        </is>
      </c>
    </row>
    <row r="43">
      <c r="A43" t="inlineStr">
        <is>
          <t>ready to cook curry</t>
        </is>
      </c>
      <c r="B43" t="n">
        <v>40</v>
      </c>
      <c r="C43" t="inlineStr">
        <is>
          <t>Yes</t>
        </is>
      </c>
      <c r="D43" t="inlineStr">
        <is>
          <t>Generic</t>
        </is>
      </c>
      <c r="E43" t="inlineStr">
        <is>
          <t>Curry Paste / Ready to Cook</t>
        </is>
      </c>
      <c r="F43" t="inlineStr">
        <is>
          <t>Format match (paste / ready-to-cook)</t>
        </is>
      </c>
      <c r="G43" t="inlineStr">
        <is>
          <t>Generic</t>
        </is>
      </c>
      <c r="H43" t="inlineStr">
        <is>
          <t>High / Commercial</t>
        </is>
      </c>
    </row>
    <row r="44">
      <c r="A44" t="inlineStr">
        <is>
          <t>thai curry paste vegetarian</t>
        </is>
      </c>
      <c r="B44" t="n">
        <v>40</v>
      </c>
      <c r="C44" t="inlineStr">
        <is>
          <t>No</t>
        </is>
      </c>
      <c r="F44" t="inlineStr">
        <is>
          <t>Thai / foreign cuisine – wrong flavour for a Chettinad paste</t>
        </is>
      </c>
      <c r="G44" t="inlineStr">
        <is>
          <t>Generic</t>
        </is>
      </c>
      <c r="H44" t="inlineStr">
        <is>
          <t>High / Commercial</t>
        </is>
      </c>
    </row>
    <row r="45">
      <c r="A45" t="inlineStr">
        <is>
          <t>best thai curry paste</t>
        </is>
      </c>
      <c r="B45" t="n">
        <v>30</v>
      </c>
      <c r="C45" t="inlineStr">
        <is>
          <t>No</t>
        </is>
      </c>
      <c r="F45" t="inlineStr">
        <is>
          <t>Thai / foreign cuisine – wrong flavour for a Chettinad paste</t>
        </is>
      </c>
      <c r="G45" t="inlineStr">
        <is>
          <t>Generic</t>
        </is>
      </c>
      <c r="H45" t="inlineStr">
        <is>
          <t>High / Commercial</t>
        </is>
      </c>
    </row>
    <row r="46">
      <c r="A46" t="inlineStr">
        <is>
          <t>coconut paste for cooking</t>
        </is>
      </c>
      <c r="B46" t="n">
        <v>30</v>
      </c>
      <c r="C46" t="inlineStr">
        <is>
          <t>No</t>
        </is>
      </c>
      <c r="F46" t="inlineStr">
        <is>
          <t>Single-ingredient paste, not a curry</t>
        </is>
      </c>
      <c r="G46" t="inlineStr">
        <is>
          <t>Generic</t>
        </is>
      </c>
      <c r="H46" t="inlineStr">
        <is>
          <t>High / Commercial</t>
        </is>
      </c>
    </row>
    <row r="47">
      <c r="A47" t="inlineStr">
        <is>
          <t>mutton curry paste</t>
        </is>
      </c>
      <c r="B47" t="n">
        <v>30</v>
      </c>
      <c r="C47" t="inlineStr">
        <is>
          <t>Yes</t>
        </is>
      </c>
      <c r="D47" t="inlineStr">
        <is>
          <t>Generic</t>
        </is>
      </c>
      <c r="E47" t="inlineStr">
        <is>
          <t>Curry Paste / Ready to Cook</t>
        </is>
      </c>
      <c r="F47" t="inlineStr">
        <is>
          <t>Format match (paste / ready-to-cook)</t>
        </is>
      </c>
      <c r="G47" t="inlineStr">
        <is>
          <t>Generic</t>
        </is>
      </c>
      <c r="H47" t="inlineStr">
        <is>
          <t>High / Commercial</t>
        </is>
      </c>
    </row>
    <row r="48">
      <c r="A48" t="inlineStr">
        <is>
          <t>ready to cook chicken curry</t>
        </is>
      </c>
      <c r="B48" t="n">
        <v>30</v>
      </c>
      <c r="C48" t="inlineStr">
        <is>
          <t>Yes</t>
        </is>
      </c>
      <c r="D48" t="inlineStr">
        <is>
          <t>Generic</t>
        </is>
      </c>
      <c r="E48" t="inlineStr">
        <is>
          <t>Curry Paste / Ready to Cook</t>
        </is>
      </c>
      <c r="F48" t="inlineStr">
        <is>
          <t>Format match (paste / ready-to-cook)</t>
        </is>
      </c>
      <c r="G48" t="inlineStr">
        <is>
          <t>Generic</t>
        </is>
      </c>
      <c r="H48" t="inlineStr">
        <is>
          <t>High / Commercial</t>
        </is>
      </c>
    </row>
    <row r="49">
      <c r="A49" t="inlineStr">
        <is>
          <t>thai red curry paste vegan</t>
        </is>
      </c>
      <c r="B49" t="n">
        <v>30</v>
      </c>
      <c r="C49" t="inlineStr">
        <is>
          <t>No</t>
        </is>
      </c>
      <c r="F49" t="inlineStr">
        <is>
          <t>Thai / foreign cuisine – wrong flavour for a Chettinad paste</t>
        </is>
      </c>
      <c r="G49" t="inlineStr">
        <is>
          <t>Generic</t>
        </is>
      </c>
      <c r="H49" t="inlineStr">
        <is>
          <t>High / Commercial</t>
        </is>
      </c>
    </row>
    <row r="50">
      <c r="A50" t="inlineStr">
        <is>
          <t>thai red curry paste vegetarian</t>
        </is>
      </c>
      <c r="B50" t="n">
        <v>30</v>
      </c>
      <c r="C50" t="inlineStr">
        <is>
          <t>No</t>
        </is>
      </c>
      <c r="F50" t="inlineStr">
        <is>
          <t>Thai / foreign cuisine – wrong flavour for a Chettinad paste</t>
        </is>
      </c>
      <c r="G50" t="inlineStr">
        <is>
          <t>Generic</t>
        </is>
      </c>
      <c r="H50" t="inlineStr">
        <is>
          <t>High / Commercial</t>
        </is>
      </c>
    </row>
    <row r="51">
      <c r="A51" t="inlineStr">
        <is>
          <t>chettinad chicken biryani masala</t>
        </is>
      </c>
      <c r="B51" t="n">
        <v>20</v>
      </c>
      <c r="C51" t="inlineStr">
        <is>
          <t>No</t>
        </is>
      </c>
      <c r="F51" t="inlineStr">
        <is>
          <t>Biryani – different dish</t>
        </is>
      </c>
      <c r="G51" t="inlineStr">
        <is>
          <t>Generic</t>
        </is>
      </c>
      <c r="H51" t="inlineStr">
        <is>
          <t>High / Commercial</t>
        </is>
      </c>
    </row>
    <row r="52">
      <c r="A52" t="inlineStr">
        <is>
          <t>cooking pastes</t>
        </is>
      </c>
      <c r="B52" t="n">
        <v>20</v>
      </c>
      <c r="C52" t="inlineStr">
        <is>
          <t>Yes</t>
        </is>
      </c>
      <c r="D52" t="inlineStr">
        <is>
          <t>Generic</t>
        </is>
      </c>
      <c r="E52" t="inlineStr">
        <is>
          <t>Curry Paste / Ready to Cook</t>
        </is>
      </c>
      <c r="F52" t="inlineStr">
        <is>
          <t>Format match (paste / ready-to-cook)</t>
        </is>
      </c>
      <c r="G52" t="inlineStr">
        <is>
          <t>Generic</t>
        </is>
      </c>
      <c r="H52" t="inlineStr">
        <is>
          <t>High / Commercial</t>
        </is>
      </c>
    </row>
    <row r="53">
      <c r="A53" t="inlineStr">
        <is>
          <t>egg curry paste</t>
        </is>
      </c>
      <c r="B53" t="n">
        <v>20</v>
      </c>
      <c r="C53" t="inlineStr">
        <is>
          <t>No</t>
        </is>
      </c>
      <c r="F53" t="inlineStr">
        <is>
          <t>Other dish / other CURRYiT product – route elsewhere</t>
        </is>
      </c>
      <c r="G53" t="inlineStr">
        <is>
          <t>Generic</t>
        </is>
      </c>
      <c r="H53" t="inlineStr">
        <is>
          <t>High / Commercial</t>
        </is>
      </c>
    </row>
    <row r="54">
      <c r="A54" t="inlineStr">
        <is>
          <t>india gate chettinad chicken masala</t>
        </is>
      </c>
      <c r="B54" t="n">
        <v>20</v>
      </c>
      <c r="C54" t="inlineStr">
        <is>
          <t>Yes</t>
        </is>
      </c>
      <c r="D54" t="inlineStr">
        <is>
          <t>Competitor</t>
        </is>
      </c>
      <c r="E54" t="inlineStr">
        <is>
          <t>Chettinad Competitors</t>
        </is>
      </c>
      <c r="F54" t="inlineStr">
        <is>
          <t>Competitor brand + Chettinad</t>
        </is>
      </c>
      <c r="G54" t="inlineStr">
        <is>
          <t>Generic</t>
        </is>
      </c>
      <c r="H54" t="inlineStr">
        <is>
          <t>High / Commercial</t>
        </is>
      </c>
    </row>
    <row r="55">
      <c r="A55" t="inlineStr">
        <is>
          <t>india gate classic chettinad chicken masala</t>
        </is>
      </c>
      <c r="B55" t="n">
        <v>20</v>
      </c>
      <c r="C55" t="inlineStr">
        <is>
          <t>Yes</t>
        </is>
      </c>
      <c r="D55" t="inlineStr">
        <is>
          <t>Competitor</t>
        </is>
      </c>
      <c r="E55" t="inlineStr">
        <is>
          <t>Chettinad Competitors</t>
        </is>
      </c>
      <c r="F55" t="inlineStr">
        <is>
          <t>Competitor brand + Chettinad</t>
        </is>
      </c>
      <c r="G55" t="inlineStr">
        <is>
          <t>Generic</t>
        </is>
      </c>
      <c r="H55" t="inlineStr">
        <is>
          <t>High / Commercial</t>
        </is>
      </c>
    </row>
    <row r="56">
      <c r="A56" t="inlineStr">
        <is>
          <t>khowsuey curry paste</t>
        </is>
      </c>
      <c r="B56" t="n">
        <v>20</v>
      </c>
      <c r="C56" t="inlineStr">
        <is>
          <t>No</t>
        </is>
      </c>
      <c r="F56" t="inlineStr">
        <is>
          <t>Thai / foreign cuisine – wrong flavour for a Chettinad paste</t>
        </is>
      </c>
      <c r="G56" t="inlineStr">
        <is>
          <t>Generic</t>
        </is>
      </c>
      <c r="H56" t="inlineStr">
        <is>
          <t>High / Commercial</t>
        </is>
      </c>
    </row>
    <row r="57">
      <c r="A57" t="inlineStr">
        <is>
          <t>lobo thai curry paste</t>
        </is>
      </c>
      <c r="B57" t="n">
        <v>20</v>
      </c>
      <c r="C57" t="inlineStr">
        <is>
          <t>No</t>
        </is>
      </c>
      <c r="F57" t="inlineStr">
        <is>
          <t>Thai / foreign cuisine – wrong flavour for a Chettinad paste</t>
        </is>
      </c>
      <c r="G57" t="inlineStr">
        <is>
          <t>Generic</t>
        </is>
      </c>
      <c r="H57" t="inlineStr">
        <is>
          <t>High / Commercial</t>
        </is>
      </c>
    </row>
    <row r="58">
      <c r="A58" t="inlineStr">
        <is>
          <t>mustard paste for cooking</t>
        </is>
      </c>
      <c r="B58" t="n">
        <v>20</v>
      </c>
      <c r="C58" t="inlineStr">
        <is>
          <t>No</t>
        </is>
      </c>
      <c r="F58" t="inlineStr">
        <is>
          <t>Single-ingredient paste, not a curry</t>
        </is>
      </c>
      <c r="G58" t="inlineStr">
        <is>
          <t>Generic</t>
        </is>
      </c>
      <c r="H58" t="inlineStr">
        <is>
          <t>High / Commercial</t>
        </is>
      </c>
    </row>
    <row r="59">
      <c r="A59" t="inlineStr">
        <is>
          <t>namjai yellow curry paste</t>
        </is>
      </c>
      <c r="B59" t="n">
        <v>20</v>
      </c>
      <c r="C59" t="inlineStr">
        <is>
          <t>No</t>
        </is>
      </c>
      <c r="F59" t="inlineStr">
        <is>
          <t>Thai / foreign cuisine – wrong flavour for a Chettinad paste</t>
        </is>
      </c>
      <c r="G59" t="inlineStr">
        <is>
          <t>Generic</t>
        </is>
      </c>
      <c r="H59" t="inlineStr">
        <is>
          <t>High / Commercial</t>
        </is>
      </c>
    </row>
    <row r="60">
      <c r="A60" t="inlineStr">
        <is>
          <t>ready to cook curry paste</t>
        </is>
      </c>
      <c r="B60" t="n">
        <v>20</v>
      </c>
      <c r="C60" t="inlineStr">
        <is>
          <t>Yes</t>
        </is>
      </c>
      <c r="D60" t="inlineStr">
        <is>
          <t>Generic</t>
        </is>
      </c>
      <c r="E60" t="inlineStr">
        <is>
          <t>Curry Paste / Ready to Cook</t>
        </is>
      </c>
      <c r="F60" t="inlineStr">
        <is>
          <t>Format match (paste / ready-to-cook)</t>
        </is>
      </c>
      <c r="G60" t="inlineStr">
        <is>
          <t>Generic</t>
        </is>
      </c>
      <c r="H60" t="inlineStr">
        <is>
          <t>High / Commercial</t>
        </is>
      </c>
    </row>
    <row r="61">
      <c r="A61" t="inlineStr">
        <is>
          <t>ready to cook fish curry</t>
        </is>
      </c>
      <c r="B61" t="n">
        <v>20</v>
      </c>
      <c r="C61" t="inlineStr">
        <is>
          <t>No</t>
        </is>
      </c>
      <c r="F61" t="inlineStr">
        <is>
          <t>Other dish / other CURRYiT product – route elsewhere</t>
        </is>
      </c>
      <c r="G61" t="inlineStr">
        <is>
          <t>Generic</t>
        </is>
      </c>
      <c r="H61" t="inlineStr">
        <is>
          <t>High / Commercial</t>
        </is>
      </c>
    </row>
    <row r="62">
      <c r="A62" t="inlineStr">
        <is>
          <t>tom yum curry paste</t>
        </is>
      </c>
      <c r="B62" t="n">
        <v>20</v>
      </c>
      <c r="C62" t="inlineStr">
        <is>
          <t>No</t>
        </is>
      </c>
      <c r="F62" t="inlineStr">
        <is>
          <t>Thai / foreign cuisine – wrong flavour for a Chettinad paste</t>
        </is>
      </c>
      <c r="G62" t="inlineStr">
        <is>
          <t>Generic</t>
        </is>
      </c>
      <c r="H62" t="inlineStr">
        <is>
          <t>High / Commercial</t>
        </is>
      </c>
    </row>
    <row r="63">
      <c r="A63" t="inlineStr">
        <is>
          <t>aroy d thai curry paste</t>
        </is>
      </c>
      <c r="B63" t="n">
        <v>10</v>
      </c>
      <c r="C63" t="inlineStr">
        <is>
          <t>No</t>
        </is>
      </c>
      <c r="F63" t="inlineStr">
        <is>
          <t>Thai / foreign cuisine – wrong flavour for a Chettinad paste</t>
        </is>
      </c>
      <c r="G63" t="inlineStr">
        <is>
          <t>Generic</t>
        </is>
      </c>
      <c r="H63" t="inlineStr">
        <is>
          <t>High / Commercial</t>
        </is>
      </c>
    </row>
    <row r="64">
      <c r="A64" t="inlineStr">
        <is>
          <t>authentic thai green curry paste</t>
        </is>
      </c>
      <c r="B64" t="n">
        <v>10</v>
      </c>
      <c r="C64" t="inlineStr">
        <is>
          <t>No</t>
        </is>
      </c>
      <c r="F64" t="inlineStr">
        <is>
          <t>Thai / foreign cuisine – wrong flavour for a Chettinad paste</t>
        </is>
      </c>
      <c r="G64" t="inlineStr">
        <is>
          <t>Generic</t>
        </is>
      </c>
      <c r="H64" t="inlineStr">
        <is>
          <t>High / Commercial</t>
        </is>
      </c>
    </row>
    <row r="65">
      <c r="A65" t="inlineStr">
        <is>
          <t>ayam thai curry paste</t>
        </is>
      </c>
      <c r="B65" t="n">
        <v>10</v>
      </c>
      <c r="C65" t="inlineStr">
        <is>
          <t>No</t>
        </is>
      </c>
      <c r="F65" t="inlineStr">
        <is>
          <t>Thai / foreign cuisine – wrong flavour for a Chettinad paste</t>
        </is>
      </c>
      <c r="G65" t="inlineStr">
        <is>
          <t>Generic</t>
        </is>
      </c>
      <c r="H65" t="inlineStr">
        <is>
          <t>High / Commercial</t>
        </is>
      </c>
    </row>
    <row r="66">
      <c r="A66" t="inlineStr">
        <is>
          <t>black curry paste</t>
        </is>
      </c>
      <c r="B66" t="n">
        <v>10</v>
      </c>
      <c r="C66" t="inlineStr">
        <is>
          <t>No</t>
        </is>
      </c>
      <c r="F66" t="inlineStr">
        <is>
          <t>Thai / foreign cuisine – wrong flavour for a Chettinad paste</t>
        </is>
      </c>
      <c r="G66" t="inlineStr">
        <is>
          <t>Generic</t>
        </is>
      </c>
      <c r="H66" t="inlineStr">
        <is>
          <t>High / Commercial</t>
        </is>
      </c>
    </row>
    <row r="67">
      <c r="A67" t="inlineStr">
        <is>
          <t>blue dragon thai curry paste</t>
        </is>
      </c>
      <c r="B67" t="n">
        <v>10</v>
      </c>
      <c r="C67" t="inlineStr">
        <is>
          <t>No</t>
        </is>
      </c>
      <c r="F67" t="inlineStr">
        <is>
          <t>Thai / foreign cuisine – wrong flavour for a Chettinad paste</t>
        </is>
      </c>
      <c r="G67" t="inlineStr">
        <is>
          <t>Generic</t>
        </is>
      </c>
      <c r="H67" t="inlineStr">
        <is>
          <t>High / Commercial</t>
        </is>
      </c>
    </row>
    <row r="68">
      <c r="A68" t="inlineStr">
        <is>
          <t>blue dragon thai green curry paste</t>
        </is>
      </c>
      <c r="B68" t="n">
        <v>10</v>
      </c>
      <c r="C68" t="inlineStr">
        <is>
          <t>No</t>
        </is>
      </c>
      <c r="F68" t="inlineStr">
        <is>
          <t>Thai / foreign cuisine – wrong flavour for a Chettinad paste</t>
        </is>
      </c>
      <c r="G68" t="inlineStr">
        <is>
          <t>Generic</t>
        </is>
      </c>
      <c r="H68" t="inlineStr">
        <is>
          <t>High / Commercial</t>
        </is>
      </c>
    </row>
    <row r="69">
      <c r="A69" t="inlineStr">
        <is>
          <t>chettinad biryani masala paste</t>
        </is>
      </c>
      <c r="B69" t="n">
        <v>10</v>
      </c>
      <c r="C69" t="inlineStr">
        <is>
          <t>No</t>
        </is>
      </c>
      <c r="F69" t="inlineStr">
        <is>
          <t>Biryani – different dish</t>
        </is>
      </c>
      <c r="G69" t="inlineStr">
        <is>
          <t>Generic</t>
        </is>
      </c>
      <c r="H69" t="inlineStr">
        <is>
          <t>High / Commercial</t>
        </is>
      </c>
    </row>
    <row r="70">
      <c r="A70" t="inlineStr">
        <is>
          <t>chettinad kulambu masala powder</t>
        </is>
      </c>
      <c r="B70" t="n">
        <v>10</v>
      </c>
      <c r="C70" t="inlineStr">
        <is>
          <t>Yes</t>
        </is>
      </c>
      <c r="D70" t="inlineStr">
        <is>
          <t>Generic</t>
        </is>
      </c>
      <c r="E70" t="inlineStr">
        <is>
          <t>Chettinad</t>
        </is>
      </c>
      <c r="F70" t="inlineStr">
        <is>
          <t>Exact cuisine match</t>
        </is>
      </c>
      <c r="G70" t="inlineStr">
        <is>
          <t>Generic</t>
        </is>
      </c>
      <c r="H70" t="inlineStr">
        <is>
          <t>High / Commercial</t>
        </is>
      </c>
    </row>
    <row r="71">
      <c r="A71" t="inlineStr">
        <is>
          <t>chicken curry masala paste</t>
        </is>
      </c>
      <c r="B71" t="n">
        <v>10</v>
      </c>
      <c r="C71" t="inlineStr">
        <is>
          <t>Yes</t>
        </is>
      </c>
      <c r="D71" t="inlineStr">
        <is>
          <t>Generic</t>
        </is>
      </c>
      <c r="E71" t="inlineStr">
        <is>
          <t>Curry Paste / Ready to Cook</t>
        </is>
      </c>
      <c r="F71" t="inlineStr">
        <is>
          <t>Format match (paste / ready-to-cook)</t>
        </is>
      </c>
      <c r="G71" t="inlineStr">
        <is>
          <t>Generic</t>
        </is>
      </c>
      <c r="H71" t="inlineStr">
        <is>
          <t>High / Commercial</t>
        </is>
      </c>
    </row>
    <row r="72">
      <c r="A72" t="inlineStr">
        <is>
          <t>curry paste bottle</t>
        </is>
      </c>
      <c r="B72" t="n">
        <v>10</v>
      </c>
      <c r="C72" t="inlineStr">
        <is>
          <t>Yes</t>
        </is>
      </c>
      <c r="D72" t="inlineStr">
        <is>
          <t>Generic</t>
        </is>
      </c>
      <c r="E72" t="inlineStr">
        <is>
          <t>Curry Paste / Ready to Cook</t>
        </is>
      </c>
      <c r="F72" t="inlineStr">
        <is>
          <t>Format match (paste / ready-to-cook)</t>
        </is>
      </c>
      <c r="G72" t="inlineStr">
        <is>
          <t>Generic</t>
        </is>
      </c>
      <c r="H72" t="inlineStr">
        <is>
          <t>High / Commercial</t>
        </is>
      </c>
    </row>
    <row r="73">
      <c r="A73" t="inlineStr">
        <is>
          <t>dancing chef green curry paste</t>
        </is>
      </c>
      <c r="B73" t="n">
        <v>10</v>
      </c>
      <c r="C73" t="inlineStr">
        <is>
          <t>No</t>
        </is>
      </c>
      <c r="F73" t="inlineStr">
        <is>
          <t>Thai / foreign cuisine – wrong flavour for a Chettinad paste</t>
        </is>
      </c>
      <c r="G73" t="inlineStr">
        <is>
          <t>Generic</t>
        </is>
      </c>
      <c r="H73" t="inlineStr">
        <is>
          <t>High / Commercial</t>
        </is>
      </c>
    </row>
    <row r="74">
      <c r="A74" t="inlineStr">
        <is>
          <t>ferns curry paste</t>
        </is>
      </c>
      <c r="B74" t="n">
        <v>10</v>
      </c>
      <c r="C74" t="inlineStr">
        <is>
          <t>No</t>
        </is>
      </c>
      <c r="F74" t="inlineStr">
        <is>
          <t>Unclear brand/intent – verify before using</t>
        </is>
      </c>
      <c r="G74" t="inlineStr">
        <is>
          <t>Generic</t>
        </is>
      </c>
      <c r="H74" t="inlineStr">
        <is>
          <t>High / Commercial</t>
        </is>
      </c>
    </row>
    <row r="75">
      <c r="A75" t="inlineStr">
        <is>
          <t>ferns hot curry paste</t>
        </is>
      </c>
      <c r="B75" t="n">
        <v>10</v>
      </c>
      <c r="C75" t="inlineStr">
        <is>
          <t>No</t>
        </is>
      </c>
      <c r="F75" t="inlineStr">
        <is>
          <t>Unclear brand/intent – verify before using</t>
        </is>
      </c>
      <c r="G75" t="inlineStr">
        <is>
          <t>Generic</t>
        </is>
      </c>
      <c r="H75" t="inlineStr">
        <is>
          <t>High / Commercial</t>
        </is>
      </c>
    </row>
    <row r="76">
      <c r="A76" t="inlineStr">
        <is>
          <t>goan fish curry paste</t>
        </is>
      </c>
      <c r="B76" t="n">
        <v>10</v>
      </c>
      <c r="C76" t="inlineStr">
        <is>
          <t>No</t>
        </is>
      </c>
      <c r="F76" t="inlineStr">
        <is>
          <t>Other dish / other CURRYiT product – route elsewhere</t>
        </is>
      </c>
      <c r="G76" t="inlineStr">
        <is>
          <t>Generic</t>
        </is>
      </c>
      <c r="H76" t="inlineStr">
        <is>
          <t>High / Commercial</t>
        </is>
      </c>
    </row>
    <row r="77">
      <c r="A77" t="inlineStr">
        <is>
          <t>indonesian curry paste</t>
        </is>
      </c>
      <c r="B77" t="n">
        <v>10</v>
      </c>
      <c r="C77" t="inlineStr">
        <is>
          <t>No</t>
        </is>
      </c>
      <c r="F77" t="inlineStr">
        <is>
          <t>Thai / foreign cuisine – wrong flavour for a Chettinad paste</t>
        </is>
      </c>
      <c r="G77" t="inlineStr">
        <is>
          <t>Generic</t>
        </is>
      </c>
      <c r="H77" t="inlineStr">
        <is>
          <t>High / Commercial</t>
        </is>
      </c>
    </row>
    <row r="78">
      <c r="A78" t="inlineStr">
        <is>
          <t>instant chicken curry masala</t>
        </is>
      </c>
      <c r="B78" t="n">
        <v>10</v>
      </c>
      <c r="C78" t="inlineStr">
        <is>
          <t>Yes</t>
        </is>
      </c>
      <c r="D78" t="inlineStr">
        <is>
          <t>Generic</t>
        </is>
      </c>
      <c r="E78" t="inlineStr">
        <is>
          <t>Chicken Curry Masala</t>
        </is>
      </c>
      <c r="F78" t="inlineStr">
        <is>
          <t>Same cooking need (chicken curry)</t>
        </is>
      </c>
      <c r="G78" t="inlineStr">
        <is>
          <t>Generic</t>
        </is>
      </c>
      <c r="H78" t="inlineStr">
        <is>
          <t>High / Commercial</t>
        </is>
      </c>
    </row>
    <row r="79">
      <c r="A79" t="inlineStr">
        <is>
          <t>instant curry paste</t>
        </is>
      </c>
      <c r="B79" t="n">
        <v>10</v>
      </c>
      <c r="C79" t="inlineStr">
        <is>
          <t>Yes</t>
        </is>
      </c>
      <c r="D79" t="inlineStr">
        <is>
          <t>Generic</t>
        </is>
      </c>
      <c r="E79" t="inlineStr">
        <is>
          <t>Curry Paste / Ready to Cook</t>
        </is>
      </c>
      <c r="F79" t="inlineStr">
        <is>
          <t>Format match (paste / ready-to-cook)</t>
        </is>
      </c>
      <c r="G79" t="inlineStr">
        <is>
          <t>Generic</t>
        </is>
      </c>
      <c r="H79" t="inlineStr">
        <is>
          <t>High / Commercial</t>
        </is>
      </c>
    </row>
    <row r="80">
      <c r="A80" t="inlineStr">
        <is>
          <t>khao suey curry paste</t>
        </is>
      </c>
      <c r="B80" t="n">
        <v>10</v>
      </c>
      <c r="C80" t="inlineStr">
        <is>
          <t>No</t>
        </is>
      </c>
      <c r="F80" t="inlineStr">
        <is>
          <t>Thai / foreign cuisine – wrong flavour for a Chettinad paste</t>
        </is>
      </c>
      <c r="G80" t="inlineStr">
        <is>
          <t>Generic</t>
        </is>
      </c>
      <c r="H80" t="inlineStr">
        <is>
          <t>High / Commercial</t>
        </is>
      </c>
    </row>
    <row r="81">
      <c r="A81" t="inlineStr">
        <is>
          <t>korean cooking paste</t>
        </is>
      </c>
      <c r="B81" t="n">
        <v>10</v>
      </c>
      <c r="C81" t="inlineStr">
        <is>
          <t>No</t>
        </is>
      </c>
      <c r="F81" t="inlineStr">
        <is>
          <t>Thai / foreign cuisine – wrong flavour for a Chettinad paste</t>
        </is>
      </c>
      <c r="G81" t="inlineStr">
        <is>
          <t>Generic</t>
        </is>
      </c>
      <c r="H81" t="inlineStr">
        <is>
          <t>High / Commercial</t>
        </is>
      </c>
    </row>
    <row r="82">
      <c r="A82" t="inlineStr">
        <is>
          <t>lobo thai green curry paste</t>
        </is>
      </c>
      <c r="B82" t="n">
        <v>10</v>
      </c>
      <c r="C82" t="inlineStr">
        <is>
          <t>No</t>
        </is>
      </c>
      <c r="F82" t="inlineStr">
        <is>
          <t>Thai / foreign cuisine – wrong flavour for a Chettinad paste</t>
        </is>
      </c>
      <c r="G82" t="inlineStr">
        <is>
          <t>Generic</t>
        </is>
      </c>
      <c r="H82" t="inlineStr">
        <is>
          <t>High / Commercial</t>
        </is>
      </c>
    </row>
    <row r="83">
      <c r="A83" t="inlineStr">
        <is>
          <t>mint paste for cooking</t>
        </is>
      </c>
      <c r="B83" t="n">
        <v>10</v>
      </c>
      <c r="C83" t="inlineStr">
        <is>
          <t>No</t>
        </is>
      </c>
      <c r="F83" t="inlineStr">
        <is>
          <t>Single-ingredient paste, not a curry</t>
        </is>
      </c>
      <c r="G83" t="inlineStr">
        <is>
          <t>Generic</t>
        </is>
      </c>
      <c r="H83" t="inlineStr">
        <is>
          <t>High / Commercial</t>
        </is>
      </c>
    </row>
    <row r="84">
      <c r="A84" t="inlineStr">
        <is>
          <t>organic red thai curry paste</t>
        </is>
      </c>
      <c r="B84" t="n">
        <v>10</v>
      </c>
      <c r="C84" t="inlineStr">
        <is>
          <t>No</t>
        </is>
      </c>
      <c r="F84" t="inlineStr">
        <is>
          <t>Pack size / diet / unrelated product</t>
        </is>
      </c>
      <c r="G84" t="inlineStr">
        <is>
          <t>Generic</t>
        </is>
      </c>
      <c r="H84" t="inlineStr">
        <is>
          <t>High / Commercial</t>
        </is>
      </c>
    </row>
    <row r="85">
      <c r="A85" t="inlineStr">
        <is>
          <t>roopak chicken curry masala</t>
        </is>
      </c>
      <c r="B85" t="n">
        <v>10</v>
      </c>
      <c r="C85" t="inlineStr">
        <is>
          <t>Yes</t>
        </is>
      </c>
      <c r="D85" t="inlineStr">
        <is>
          <t>Competitor</t>
        </is>
      </c>
      <c r="E85" t="inlineStr">
        <is>
          <t>Chicken Curry Masala Brands</t>
        </is>
      </c>
      <c r="F85" t="inlineStr">
        <is>
          <t>Competitor brand, chicken curry masala</t>
        </is>
      </c>
      <c r="G85" t="inlineStr">
        <is>
          <t>Generic</t>
        </is>
      </c>
      <c r="H85" t="inlineStr">
        <is>
          <t>High / Commercial</t>
        </is>
      </c>
    </row>
    <row r="86">
      <c r="A86" t="inlineStr">
        <is>
          <t>singapore curry paste</t>
        </is>
      </c>
      <c r="B86" t="n">
        <v>10</v>
      </c>
      <c r="C86" t="inlineStr">
        <is>
          <t>No</t>
        </is>
      </c>
      <c r="F86" t="inlineStr">
        <is>
          <t>Thai / foreign cuisine – wrong flavour for a Chettinad paste</t>
        </is>
      </c>
      <c r="G86" t="inlineStr">
        <is>
          <t>Generic</t>
        </is>
      </c>
      <c r="H86" t="inlineStr">
        <is>
          <t>High / Commercial</t>
        </is>
      </c>
    </row>
    <row r="87">
      <c r="A87" t="inlineStr">
        <is>
          <t>spicy chicken curry masala</t>
        </is>
      </c>
      <c r="B87" t="n">
        <v>10</v>
      </c>
      <c r="C87" t="inlineStr">
        <is>
          <t>Yes</t>
        </is>
      </c>
      <c r="D87" t="inlineStr">
        <is>
          <t>Generic</t>
        </is>
      </c>
      <c r="E87" t="inlineStr">
        <is>
          <t>Chicken Curry Masala</t>
        </is>
      </c>
      <c r="F87" t="inlineStr">
        <is>
          <t>Same cooking need (chicken curry)</t>
        </is>
      </c>
      <c r="G87" t="inlineStr">
        <is>
          <t>Generic</t>
        </is>
      </c>
      <c r="H87" t="inlineStr">
        <is>
          <t>High / Commercial</t>
        </is>
      </c>
    </row>
    <row r="88">
      <c r="A88" t="inlineStr">
        <is>
          <t>tamarind paste for cooking</t>
        </is>
      </c>
      <c r="B88" t="n">
        <v>10</v>
      </c>
      <c r="C88" t="inlineStr">
        <is>
          <t>No</t>
        </is>
      </c>
      <c r="F88" t="inlineStr">
        <is>
          <t>Single-ingredient paste, not a curry</t>
        </is>
      </c>
      <c r="G88" t="inlineStr">
        <is>
          <t>Generic</t>
        </is>
      </c>
      <c r="H88" t="inlineStr">
        <is>
          <t>High / Commercial</t>
        </is>
      </c>
    </row>
    <row r="89">
      <c r="A89" t="inlineStr">
        <is>
          <t>tomato paste for cooking</t>
        </is>
      </c>
      <c r="B89" t="n">
        <v>10</v>
      </c>
      <c r="C89" t="inlineStr">
        <is>
          <t>No</t>
        </is>
      </c>
      <c r="F89" t="inlineStr">
        <is>
          <t>Single-ingredient paste, not a curry</t>
        </is>
      </c>
      <c r="G89" t="inlineStr">
        <is>
          <t>Generic</t>
        </is>
      </c>
      <c r="H89" t="inlineStr">
        <is>
          <t>High / Commercial</t>
        </is>
      </c>
    </row>
    <row r="90">
      <c r="A90" t="inlineStr">
        <is>
          <t>urban platter thai curry paste</t>
        </is>
      </c>
      <c r="B90" t="n">
        <v>10</v>
      </c>
      <c r="C90" t="inlineStr">
        <is>
          <t>No</t>
        </is>
      </c>
      <c r="F90" t="inlineStr">
        <is>
          <t>Thai / foreign cuisine – wrong flavour for a Chettinad paste</t>
        </is>
      </c>
      <c r="G90" t="inlineStr">
        <is>
          <t>Generic</t>
        </is>
      </c>
      <c r="H90" t="inlineStr">
        <is>
          <t>High / Commercial</t>
        </is>
      </c>
    </row>
    <row r="91">
      <c r="A91" t="inlineStr">
        <is>
          <t>veg thai green curry paste</t>
        </is>
      </c>
      <c r="B91" t="n">
        <v>10</v>
      </c>
      <c r="C91" t="inlineStr">
        <is>
          <t>No</t>
        </is>
      </c>
      <c r="F91" t="inlineStr">
        <is>
          <t>Thai / foreign cuisine – wrong flavour for a Chettinad paste</t>
        </is>
      </c>
      <c r="G91" t="inlineStr">
        <is>
          <t>Generic</t>
        </is>
      </c>
      <c r="H91" t="inlineStr">
        <is>
          <t>High / Commercial</t>
        </is>
      </c>
    </row>
    <row r="92">
      <c r="A92" t="inlineStr">
        <is>
          <t>8 oz 227 g</t>
        </is>
      </c>
      <c r="C92" t="inlineStr">
        <is>
          <t>No</t>
        </is>
      </c>
      <c r="F92" t="inlineStr">
        <is>
          <t>Pack size / diet / unrelated product</t>
        </is>
      </c>
      <c r="G92" t="inlineStr">
        <is>
          <t>Generic</t>
        </is>
      </c>
      <c r="H92" t="inlineStr">
        <is>
          <t>Generic / Mixed</t>
        </is>
      </c>
    </row>
    <row r="93">
      <c r="A93" t="inlineStr">
        <is>
          <t>amashaa masala ready to cook red curry</t>
        </is>
      </c>
      <c r="C93" t="inlineStr">
        <is>
          <t>No</t>
        </is>
      </c>
      <c r="F93" t="inlineStr">
        <is>
          <t>Thai / foreign cuisine – wrong flavour for a Chettinad paste</t>
        </is>
      </c>
      <c r="G93" t="inlineStr">
        <is>
          <t>Generic</t>
        </is>
      </c>
      <c r="H93" t="inlineStr">
        <is>
          <t>High / Commercial</t>
        </is>
      </c>
    </row>
    <row r="94">
      <c r="A94" t="inlineStr">
        <is>
          <t>andhra chicken curry masala</t>
        </is>
      </c>
      <c r="C94" t="inlineStr">
        <is>
          <t>No</t>
        </is>
      </c>
      <c r="F94" t="inlineStr">
        <is>
          <t>Other regional chicken masala – test only, not core</t>
        </is>
      </c>
      <c r="G94" t="inlineStr">
        <is>
          <t>Generic</t>
        </is>
      </c>
      <c r="H94" t="inlineStr">
        <is>
          <t>High / Commercial</t>
        </is>
      </c>
    </row>
    <row r="95">
      <c r="A95" t="inlineStr">
        <is>
          <t>andhra mutton curry masala paste</t>
        </is>
      </c>
      <c r="C95" t="inlineStr">
        <is>
          <t>No</t>
        </is>
      </c>
      <c r="F95" t="inlineStr">
        <is>
          <t>Other dish / other CURRYiT product – route elsewhere</t>
        </is>
      </c>
      <c r="G95" t="inlineStr">
        <is>
          <t>Generic</t>
        </is>
      </c>
      <c r="H95" t="inlineStr">
        <is>
          <t>High / Commercial</t>
        </is>
      </c>
    </row>
    <row r="96">
      <c r="A96" t="inlineStr">
        <is>
          <t>bengali chicken curry masala</t>
        </is>
      </c>
      <c r="C96" t="inlineStr">
        <is>
          <t>No</t>
        </is>
      </c>
      <c r="F96" t="inlineStr">
        <is>
          <t>Other regional chicken masala – test only, not core</t>
        </is>
      </c>
      <c r="G96" t="inlineStr">
        <is>
          <t>Generic</t>
        </is>
      </c>
      <c r="H96" t="inlineStr">
        <is>
          <t>High / Commercial</t>
        </is>
      </c>
    </row>
    <row r="97">
      <c r="A97" t="inlineStr">
        <is>
          <t>bengali mustard paste for cooking</t>
        </is>
      </c>
      <c r="C97" t="inlineStr">
        <is>
          <t>No</t>
        </is>
      </c>
      <c r="F97" t="inlineStr">
        <is>
          <t>Single-ingredient paste, not a curry</t>
        </is>
      </c>
      <c r="G97" t="inlineStr">
        <is>
          <t>Generic</t>
        </is>
      </c>
      <c r="H97" t="inlineStr">
        <is>
          <t>High / Commercial</t>
        </is>
      </c>
    </row>
    <row r="98">
      <c r="A98" t="inlineStr">
        <is>
          <t>bengali mustard paste packet by emamifor cooking</t>
        </is>
      </c>
      <c r="C98" t="inlineStr">
        <is>
          <t>No</t>
        </is>
      </c>
      <c r="F98" t="inlineStr">
        <is>
          <t>Single-ingredient paste, not a curry</t>
        </is>
      </c>
      <c r="G98" t="inlineStr">
        <is>
          <t>Generic</t>
        </is>
      </c>
      <c r="H98" t="inlineStr">
        <is>
          <t>High / Commercial</t>
        </is>
      </c>
    </row>
    <row r="99">
      <c r="A99" t="inlineStr">
        <is>
          <t>butter chicken cooking paste</t>
        </is>
      </c>
      <c r="C99" t="inlineStr">
        <is>
          <t>No</t>
        </is>
      </c>
      <c r="F99" t="inlineStr">
        <is>
          <t>Other dish / other CURRYiT product – route elsewhere</t>
        </is>
      </c>
      <c r="G99" t="inlineStr">
        <is>
          <t>Generic</t>
        </is>
      </c>
      <c r="H99" t="inlineStr">
        <is>
          <t>High / Commercial</t>
        </is>
      </c>
    </row>
    <row r="100">
      <c r="A100" t="inlineStr">
        <is>
          <t>chettinad biryani rice mix masala</t>
        </is>
      </c>
      <c r="C100" t="inlineStr">
        <is>
          <t>No</t>
        </is>
      </c>
      <c r="F100" t="inlineStr">
        <is>
          <t>Biryani – different dish</t>
        </is>
      </c>
      <c r="G100" t="inlineStr">
        <is>
          <t>Generic</t>
        </is>
      </c>
      <c r="H100" t="inlineStr">
        <is>
          <t>High / Commercial</t>
        </is>
      </c>
    </row>
    <row r="101">
      <c r="A101" t="inlineStr">
        <is>
          <t>chettinad masala dry</t>
        </is>
      </c>
      <c r="C101" t="inlineStr">
        <is>
          <t>Yes</t>
        </is>
      </c>
      <c r="D101" t="inlineStr">
        <is>
          <t>Generic</t>
        </is>
      </c>
      <c r="E101" t="inlineStr">
        <is>
          <t>Chettinad</t>
        </is>
      </c>
      <c r="F101" t="inlineStr">
        <is>
          <t>Exact cuisine match</t>
        </is>
      </c>
      <c r="G101" t="inlineStr">
        <is>
          <t>Generic</t>
        </is>
      </c>
      <c r="H101" t="inlineStr">
        <is>
          <t>High / Commercial</t>
        </is>
      </c>
    </row>
    <row r="102">
      <c r="A102" t="inlineStr">
        <is>
          <t>chettinad masala tamil nadu</t>
        </is>
      </c>
      <c r="C102" t="inlineStr">
        <is>
          <t>Yes</t>
        </is>
      </c>
      <c r="D102" t="inlineStr">
        <is>
          <t>Generic</t>
        </is>
      </c>
      <c r="E102" t="inlineStr">
        <is>
          <t>Chettinad</t>
        </is>
      </c>
      <c r="F102" t="inlineStr">
        <is>
          <t>Exact cuisine match</t>
        </is>
      </c>
      <c r="G102" t="inlineStr">
        <is>
          <t>Generic</t>
        </is>
      </c>
      <c r="H102" t="inlineStr">
        <is>
          <t>High / Commercial</t>
        </is>
      </c>
    </row>
    <row r="103">
      <c r="A103" t="inlineStr">
        <is>
          <t>chicken curry masala 1 kg</t>
        </is>
      </c>
      <c r="C103" t="inlineStr">
        <is>
          <t>No</t>
        </is>
      </c>
      <c r="F103" t="inlineStr">
        <is>
          <t>Pack size / diet / unrelated product</t>
        </is>
      </c>
      <c r="G103" t="inlineStr">
        <is>
          <t>Generic</t>
        </is>
      </c>
      <c r="H103" t="inlineStr">
        <is>
          <t>High / Commercial</t>
        </is>
      </c>
    </row>
    <row r="104">
      <c r="A104" t="inlineStr">
        <is>
          <t>chicken curry masala 500gm</t>
        </is>
      </c>
      <c r="C104" t="inlineStr">
        <is>
          <t>No</t>
        </is>
      </c>
      <c r="F104" t="inlineStr">
        <is>
          <t>Pack size / diet / unrelated product</t>
        </is>
      </c>
      <c r="G104" t="inlineStr">
        <is>
          <t>Generic</t>
        </is>
      </c>
      <c r="H104" t="inlineStr">
        <is>
          <t>High / Commercial</t>
        </is>
      </c>
    </row>
    <row r="105">
      <c r="A105" t="inlineStr">
        <is>
          <t>chicken curry masala organic</t>
        </is>
      </c>
      <c r="C105" t="inlineStr">
        <is>
          <t>No</t>
        </is>
      </c>
      <c r="F105" t="inlineStr">
        <is>
          <t>Pack size / diet / unrelated product</t>
        </is>
      </c>
      <c r="G105" t="inlineStr">
        <is>
          <t>Generic</t>
        </is>
      </c>
      <c r="H105" t="inlineStr">
        <is>
          <t>High / Commercial</t>
        </is>
      </c>
    </row>
    <row r="106">
      <c r="A106" t="inlineStr">
        <is>
          <t>chicken curry paste ready to cook</t>
        </is>
      </c>
      <c r="C106" t="inlineStr">
        <is>
          <t>Yes</t>
        </is>
      </c>
      <c r="D106" t="inlineStr">
        <is>
          <t>Generic</t>
        </is>
      </c>
      <c r="E106" t="inlineStr">
        <is>
          <t>Curry Paste / Ready to Cook</t>
        </is>
      </c>
      <c r="F106" t="inlineStr">
        <is>
          <t>Format match (paste / ready-to-cook)</t>
        </is>
      </c>
      <c r="G106" t="inlineStr">
        <is>
          <t>Generic</t>
        </is>
      </c>
      <c r="H106" t="inlineStr">
        <is>
          <t>High / Commercial</t>
        </is>
      </c>
    </row>
    <row r="107">
      <c r="A107" t="inlineStr">
        <is>
          <t>chilli garlic paste for indian cooking</t>
        </is>
      </c>
      <c r="C107" t="inlineStr">
        <is>
          <t>No</t>
        </is>
      </c>
      <c r="F107" t="inlineStr">
        <is>
          <t>Single-ingredient paste, not a curry</t>
        </is>
      </c>
      <c r="G107" t="inlineStr">
        <is>
          <t>Generic</t>
        </is>
      </c>
      <c r="H107" t="inlineStr">
        <is>
          <t>High / Commercial</t>
        </is>
      </c>
    </row>
    <row r="108">
      <c r="A108" t="inlineStr">
        <is>
          <t>chilli paste for cooking</t>
        </is>
      </c>
      <c r="C108" t="inlineStr">
        <is>
          <t>No</t>
        </is>
      </c>
      <c r="F108" t="inlineStr">
        <is>
          <t>Single-ingredient paste, not a curry</t>
        </is>
      </c>
      <c r="G108" t="inlineStr">
        <is>
          <t>Generic</t>
        </is>
      </c>
      <c r="H108" t="inlineStr">
        <is>
          <t>High / Commercial</t>
        </is>
      </c>
    </row>
    <row r="109">
      <c r="A109" t="inlineStr">
        <is>
          <t>coconut paste for cooking thai food</t>
        </is>
      </c>
      <c r="C109" t="inlineStr">
        <is>
          <t>No</t>
        </is>
      </c>
      <c r="F109" t="inlineStr">
        <is>
          <t>Thai / foreign cuisine – wrong flavour for a Chettinad paste</t>
        </is>
      </c>
      <c r="G109" t="inlineStr">
        <is>
          <t>Generic</t>
        </is>
      </c>
      <c r="H109" t="inlineStr">
        <is>
          <t>High / Commercial</t>
        </is>
      </c>
    </row>
    <row r="110">
      <c r="A110" t="inlineStr">
        <is>
          <t>cooking masala paste</t>
        </is>
      </c>
      <c r="C110" t="inlineStr">
        <is>
          <t>Yes</t>
        </is>
      </c>
      <c r="D110" t="inlineStr">
        <is>
          <t>Generic</t>
        </is>
      </c>
      <c r="E110" t="inlineStr">
        <is>
          <t>Curry Paste / Ready to Cook</t>
        </is>
      </c>
      <c r="F110" t="inlineStr">
        <is>
          <t>Format match (paste / ready-to-cook)</t>
        </is>
      </c>
      <c r="G110" t="inlineStr">
        <is>
          <t>Generic</t>
        </is>
      </c>
      <c r="H110" t="inlineStr">
        <is>
          <t>High / Commercial</t>
        </is>
      </c>
    </row>
    <row r="111">
      <c r="A111" t="inlineStr">
        <is>
          <t>cooking paste veg</t>
        </is>
      </c>
      <c r="C111" t="inlineStr">
        <is>
          <t>No</t>
        </is>
      </c>
      <c r="F111" t="inlineStr">
        <is>
          <t>Veg / sauces intent – weak match for chicken paste</t>
        </is>
      </c>
      <c r="G111" t="inlineStr">
        <is>
          <t>Generic</t>
        </is>
      </c>
      <c r="H111" t="inlineStr">
        <is>
          <t>High / Commercial</t>
        </is>
      </c>
    </row>
    <row r="112">
      <c r="A112" t="inlineStr">
        <is>
          <t>cooking pastes &amp; sauces</t>
        </is>
      </c>
      <c r="C112" t="inlineStr">
        <is>
          <t>No</t>
        </is>
      </c>
      <c r="F112" t="inlineStr">
        <is>
          <t>Veg / sauces intent – weak match for chicken paste</t>
        </is>
      </c>
      <c r="G112" t="inlineStr">
        <is>
          <t>Generic</t>
        </is>
      </c>
      <c r="H112" t="inlineStr">
        <is>
          <t>High / Commercial</t>
        </is>
      </c>
    </row>
    <row r="113">
      <c r="A113" t="inlineStr">
        <is>
          <t>curry leaves rice mix paste</t>
        </is>
      </c>
      <c r="C113" t="inlineStr">
        <is>
          <t>No</t>
        </is>
      </c>
      <c r="F113" t="inlineStr">
        <is>
          <t>Pack size / diet / unrelated product</t>
        </is>
      </c>
      <c r="G113" t="inlineStr">
        <is>
          <t>Generic</t>
        </is>
      </c>
      <c r="H113" t="inlineStr">
        <is>
          <t>High / Commercial</t>
        </is>
      </c>
    </row>
    <row r="114">
      <c r="A114" t="inlineStr">
        <is>
          <t>curry leaves rice mix paste sweet karam coffee</t>
        </is>
      </c>
      <c r="C114" t="inlineStr">
        <is>
          <t>No</t>
        </is>
      </c>
      <c r="F114" t="inlineStr">
        <is>
          <t>Pack size / diet / unrelated product</t>
        </is>
      </c>
      <c r="G114" t="inlineStr">
        <is>
          <t>Generic</t>
        </is>
      </c>
      <c r="H114" t="inlineStr">
        <is>
          <t>High / Commercial</t>
        </is>
      </c>
    </row>
    <row r="115">
      <c r="A115" t="inlineStr">
        <is>
          <t>curry leaves rice paste</t>
        </is>
      </c>
      <c r="C115" t="inlineStr">
        <is>
          <t>No</t>
        </is>
      </c>
      <c r="F115" t="inlineStr">
        <is>
          <t>Pack size / diet / unrelated product</t>
        </is>
      </c>
      <c r="G115" t="inlineStr">
        <is>
          <t>Generic</t>
        </is>
      </c>
      <c r="H115" t="inlineStr">
        <is>
          <t>High / Commercial</t>
        </is>
      </c>
    </row>
    <row r="116">
      <c r="A116" t="inlineStr">
        <is>
          <t>curry paste 1kg</t>
        </is>
      </c>
      <c r="C116" t="inlineStr">
        <is>
          <t>No</t>
        </is>
      </c>
      <c r="F116" t="inlineStr">
        <is>
          <t>Pack size / diet / unrelated product</t>
        </is>
      </c>
      <c r="G116" t="inlineStr">
        <is>
          <t>Generic</t>
        </is>
      </c>
      <c r="H116" t="inlineStr">
        <is>
          <t>High / Commercial</t>
        </is>
      </c>
    </row>
    <row r="117">
      <c r="A117" t="inlineStr">
        <is>
          <t>curry paste for cooking</t>
        </is>
      </c>
      <c r="C117" t="inlineStr">
        <is>
          <t>Yes</t>
        </is>
      </c>
      <c r="D117" t="inlineStr">
        <is>
          <t>Generic</t>
        </is>
      </c>
      <c r="E117" t="inlineStr">
        <is>
          <t>Curry Paste / Ready to Cook</t>
        </is>
      </c>
      <c r="F117" t="inlineStr">
        <is>
          <t>Format match (paste / ready-to-cook)</t>
        </is>
      </c>
      <c r="G117" t="inlineStr">
        <is>
          <t>Generic</t>
        </is>
      </c>
      <c r="H117" t="inlineStr">
        <is>
          <t>High / Commercial</t>
        </is>
      </c>
    </row>
    <row r="118">
      <c r="A118" t="inlineStr">
        <is>
          <t>curry paste for rice</t>
        </is>
      </c>
      <c r="C118" t="inlineStr">
        <is>
          <t>No</t>
        </is>
      </c>
      <c r="F118" t="inlineStr">
        <is>
          <t>Pack size / diet / unrelated product</t>
        </is>
      </c>
      <c r="G118" t="inlineStr">
        <is>
          <t>Generic</t>
        </is>
      </c>
      <c r="H118" t="inlineStr">
        <is>
          <t>High / Commercial</t>
        </is>
      </c>
    </row>
    <row r="119">
      <c r="A119" t="inlineStr">
        <is>
          <t>curry paste veg</t>
        </is>
      </c>
      <c r="C119" t="inlineStr">
        <is>
          <t>No</t>
        </is>
      </c>
      <c r="F119" t="inlineStr">
        <is>
          <t>Veg / sauces intent – weak match for chicken paste</t>
        </is>
      </c>
      <c r="G119" t="inlineStr">
        <is>
          <t>Generic</t>
        </is>
      </c>
      <c r="H119" t="inlineStr">
        <is>
          <t>High / Commercial</t>
        </is>
      </c>
    </row>
    <row r="120">
      <c r="A120" t="inlineStr">
        <is>
          <t>curry rogan josh paste</t>
        </is>
      </c>
      <c r="C120" t="inlineStr">
        <is>
          <t>No</t>
        </is>
      </c>
      <c r="F120" t="inlineStr">
        <is>
          <t>Other dish / other CURRYiT product – route elsewhere</t>
        </is>
      </c>
      <c r="G120" t="inlineStr">
        <is>
          <t>Generic</t>
        </is>
      </c>
      <c r="H120" t="inlineStr">
        <is>
          <t>High / Commercial</t>
        </is>
      </c>
    </row>
    <row r="121">
      <c r="A121" t="inlineStr">
        <is>
          <t>dabur tamarind paste for cooking</t>
        </is>
      </c>
      <c r="C121" t="inlineStr">
        <is>
          <t>No</t>
        </is>
      </c>
      <c r="F121" t="inlineStr">
        <is>
          <t>Single-ingredient paste, not a curry</t>
        </is>
      </c>
      <c r="G121" t="inlineStr">
        <is>
          <t>Generic</t>
        </is>
      </c>
      <c r="H121" t="inlineStr">
        <is>
          <t>High / Commercial</t>
        </is>
      </c>
    </row>
    <row r="122">
      <c r="A122" t="inlineStr">
        <is>
          <t>fish curry masala ready to cook</t>
        </is>
      </c>
      <c r="C122" t="inlineStr">
        <is>
          <t>No</t>
        </is>
      </c>
      <c r="F122" t="inlineStr">
        <is>
          <t>Other dish / other CURRYiT product – route elsewhere</t>
        </is>
      </c>
      <c r="G122" t="inlineStr">
        <is>
          <t>Generic</t>
        </is>
      </c>
      <c r="H122" t="inlineStr">
        <is>
          <t>High / Commercial</t>
        </is>
      </c>
    </row>
    <row r="123">
      <c r="A123" t="inlineStr">
        <is>
          <t>fish curry paste ready to cook</t>
        </is>
      </c>
      <c r="C123" t="inlineStr">
        <is>
          <t>No</t>
        </is>
      </c>
      <c r="F123" t="inlineStr">
        <is>
          <t>Other dish / other CURRYiT product – route elsewhere</t>
        </is>
      </c>
      <c r="G123" t="inlineStr">
        <is>
          <t>Generic</t>
        </is>
      </c>
      <c r="H123" t="inlineStr">
        <is>
          <t>High / Commercial</t>
        </is>
      </c>
    </row>
    <row r="124">
      <c r="A124" t="inlineStr">
        <is>
          <t>goa fish curry paste</t>
        </is>
      </c>
      <c r="C124" t="inlineStr">
        <is>
          <t>No</t>
        </is>
      </c>
      <c r="F124" t="inlineStr">
        <is>
          <t>Other dish / other CURRYiT product – route elsewhere</t>
        </is>
      </c>
      <c r="G124" t="inlineStr">
        <is>
          <t>Generic</t>
        </is>
      </c>
      <c r="H124" t="inlineStr">
        <is>
          <t>High / Commercial</t>
        </is>
      </c>
    </row>
    <row r="125">
      <c r="A125" t="inlineStr">
        <is>
          <t>goan fish curry masala paste</t>
        </is>
      </c>
      <c r="C125" t="inlineStr">
        <is>
          <t>No</t>
        </is>
      </c>
      <c r="F125" t="inlineStr">
        <is>
          <t>Other dish / other CURRYiT product – route elsewhere</t>
        </is>
      </c>
      <c r="G125" t="inlineStr">
        <is>
          <t>Generic</t>
        </is>
      </c>
      <c r="H125" t="inlineStr">
        <is>
          <t>High / Commercial</t>
        </is>
      </c>
    </row>
    <row r="126">
      <c r="A126" t="inlineStr">
        <is>
          <t>green chilli paste for cooking</t>
        </is>
      </c>
      <c r="C126" t="inlineStr">
        <is>
          <t>No</t>
        </is>
      </c>
      <c r="F126" t="inlineStr">
        <is>
          <t>Single-ingredient paste, not a curry</t>
        </is>
      </c>
      <c r="G126" t="inlineStr">
        <is>
          <t>Generic</t>
        </is>
      </c>
      <c r="H126" t="inlineStr">
        <is>
          <t>High / Commercial</t>
        </is>
      </c>
    </row>
    <row r="127">
      <c r="A127" t="inlineStr">
        <is>
          <t>green thai curry paste jain</t>
        </is>
      </c>
      <c r="C127" t="inlineStr">
        <is>
          <t>No</t>
        </is>
      </c>
      <c r="F127" t="inlineStr">
        <is>
          <t>Jain / no onion-garlic; CURRYiT contains onion &amp; garlic</t>
        </is>
      </c>
      <c r="G127" t="inlineStr">
        <is>
          <t>Generic</t>
        </is>
      </c>
      <c r="H127" t="inlineStr">
        <is>
          <t>High / Commercial</t>
        </is>
      </c>
    </row>
    <row r="128">
      <c r="A128" t="inlineStr">
        <is>
          <t>imli paste for cooking</t>
        </is>
      </c>
      <c r="C128" t="inlineStr">
        <is>
          <t>No</t>
        </is>
      </c>
      <c r="F128" t="inlineStr">
        <is>
          <t>Single-ingredient paste, not a curry</t>
        </is>
      </c>
      <c r="G128" t="inlineStr">
        <is>
          <t>Generic</t>
        </is>
      </c>
      <c r="H128" t="inlineStr">
        <is>
          <t>High / Commercial</t>
        </is>
      </c>
    </row>
    <row r="129">
      <c r="A129" t="inlineStr">
        <is>
          <t>india gate classic chettinad chicken masala gravy</t>
        </is>
      </c>
      <c r="C129" t="inlineStr">
        <is>
          <t>Yes</t>
        </is>
      </c>
      <c r="D129" t="inlineStr">
        <is>
          <t>Competitor</t>
        </is>
      </c>
      <c r="E129" t="inlineStr">
        <is>
          <t>Chettinad Competitors</t>
        </is>
      </c>
      <c r="F129" t="inlineStr">
        <is>
          <t>Competitor brand + Chettinad</t>
        </is>
      </c>
      <c r="G129" t="inlineStr">
        <is>
          <t>Generic</t>
        </is>
      </c>
      <c r="H129" t="inlineStr">
        <is>
          <t>High / Commercial</t>
        </is>
      </c>
    </row>
    <row r="130">
      <c r="A130" t="inlineStr">
        <is>
          <t>indian curry paste combo</t>
        </is>
      </c>
      <c r="C130" t="inlineStr">
        <is>
          <t>Yes</t>
        </is>
      </c>
      <c r="D130" t="inlineStr">
        <is>
          <t>Generic</t>
        </is>
      </c>
      <c r="E130" t="inlineStr">
        <is>
          <t>Curry Paste / Ready to Cook</t>
        </is>
      </c>
      <c r="F130" t="inlineStr">
        <is>
          <t>Format match (paste / ready-to-cook)</t>
        </is>
      </c>
      <c r="G130" t="inlineStr">
        <is>
          <t>Generic</t>
        </is>
      </c>
      <c r="H130" t="inlineStr">
        <is>
          <t>High / Commercial</t>
        </is>
      </c>
    </row>
    <row r="131">
      <c r="A131" t="inlineStr">
        <is>
          <t>jain khowsuey curry paste</t>
        </is>
      </c>
      <c r="C131" t="inlineStr">
        <is>
          <t>No</t>
        </is>
      </c>
      <c r="F131" t="inlineStr">
        <is>
          <t>Jain / no onion-garlic; CURRYiT contains onion &amp; garlic</t>
        </is>
      </c>
      <c r="G131" t="inlineStr">
        <is>
          <t>Generic</t>
        </is>
      </c>
      <c r="H131" t="inlineStr">
        <is>
          <t>High / Commercial</t>
        </is>
      </c>
    </row>
    <row r="132">
      <c r="A132" t="inlineStr">
        <is>
          <t>jain red thai curry paste</t>
        </is>
      </c>
      <c r="C132" t="inlineStr">
        <is>
          <t>No</t>
        </is>
      </c>
      <c r="F132" t="inlineStr">
        <is>
          <t>Jain / no onion-garlic; CURRYiT contains onion &amp; garlic</t>
        </is>
      </c>
      <c r="G132" t="inlineStr">
        <is>
          <t>Generic</t>
        </is>
      </c>
      <c r="H132" t="inlineStr">
        <is>
          <t>High / Commercial</t>
        </is>
      </c>
    </row>
    <row r="133">
      <c r="A133" t="inlineStr">
        <is>
          <t>jain red thai curry paste no onion no garlic</t>
        </is>
      </c>
      <c r="C133" t="inlineStr">
        <is>
          <t>No</t>
        </is>
      </c>
      <c r="F133" t="inlineStr">
        <is>
          <t>Jain / no onion-garlic; CURRYiT contains onion &amp; garlic</t>
        </is>
      </c>
      <c r="G133" t="inlineStr">
        <is>
          <t>Generic</t>
        </is>
      </c>
      <c r="H133" t="inlineStr">
        <is>
          <t>High / Commercial</t>
        </is>
      </c>
    </row>
    <row r="134">
      <c r="A134" t="inlineStr">
        <is>
          <t>jain thai curry paste no onion no garlic</t>
        </is>
      </c>
      <c r="C134" t="inlineStr">
        <is>
          <t>No</t>
        </is>
      </c>
      <c r="F134" t="inlineStr">
        <is>
          <t>Jain / no onion-garlic; CURRYiT contains onion &amp; garlic</t>
        </is>
      </c>
      <c r="G134" t="inlineStr">
        <is>
          <t>Generic</t>
        </is>
      </c>
      <c r="H134" t="inlineStr">
        <is>
          <t>High / Commercial</t>
        </is>
      </c>
    </row>
    <row r="135">
      <c r="A135" t="inlineStr">
        <is>
          <t>jain thai green curry paste no onion no garlic</t>
        </is>
      </c>
      <c r="C135" t="inlineStr">
        <is>
          <t>No</t>
        </is>
      </c>
      <c r="F135" t="inlineStr">
        <is>
          <t>Jain / no onion-garlic; CURRYiT contains onion &amp; garlic</t>
        </is>
      </c>
      <c r="G135" t="inlineStr">
        <is>
          <t>Generic</t>
        </is>
      </c>
      <c r="H135" t="inlineStr">
        <is>
          <t>High / Commercial</t>
        </is>
      </c>
    </row>
    <row r="136">
      <c r="A136" t="inlineStr">
        <is>
          <t>kaju paste for cooking</t>
        </is>
      </c>
      <c r="C136" t="inlineStr">
        <is>
          <t>No</t>
        </is>
      </c>
      <c r="F136" t="inlineStr">
        <is>
          <t>Single-ingredient paste, not a curry</t>
        </is>
      </c>
      <c r="G136" t="inlineStr">
        <is>
          <t>Generic</t>
        </is>
      </c>
      <c r="H136" t="inlineStr">
        <is>
          <t>High / Commercial</t>
        </is>
      </c>
    </row>
    <row r="137">
      <c r="A137" t="inlineStr">
        <is>
          <t>kerala chicken curry masala</t>
        </is>
      </c>
      <c r="C137" t="inlineStr">
        <is>
          <t>No</t>
        </is>
      </c>
      <c r="F137" t="inlineStr">
        <is>
          <t>Other regional chicken masala – test only, not core</t>
        </is>
      </c>
      <c r="G137" t="inlineStr">
        <is>
          <t>Generic</t>
        </is>
      </c>
      <c r="H137" t="inlineStr">
        <is>
          <t>High / Commercial</t>
        </is>
      </c>
    </row>
    <row r="138">
      <c r="A138" t="inlineStr">
        <is>
          <t>kerala fish curry paste</t>
        </is>
      </c>
      <c r="C138" t="inlineStr">
        <is>
          <t>No</t>
        </is>
      </c>
      <c r="F138" t="inlineStr">
        <is>
          <t>Other dish / other CURRYiT product – route elsewhere</t>
        </is>
      </c>
      <c r="G138" t="inlineStr">
        <is>
          <t>Generic</t>
        </is>
      </c>
      <c r="H138" t="inlineStr">
        <is>
          <t>High / Commercial</t>
        </is>
      </c>
    </row>
    <row r="139">
      <c r="A139" t="inlineStr">
        <is>
          <t>khowsuey curry paste burma burma</t>
        </is>
      </c>
      <c r="C139" t="inlineStr">
        <is>
          <t>No</t>
        </is>
      </c>
      <c r="F139" t="inlineStr">
        <is>
          <t>Thai / foreign cuisine – wrong flavour for a Chettinad paste</t>
        </is>
      </c>
      <c r="G139" t="inlineStr">
        <is>
          <t>Generic</t>
        </is>
      </c>
      <c r="H139" t="inlineStr">
        <is>
          <t>High / Commercial</t>
        </is>
      </c>
    </row>
    <row r="140">
      <c r="A140" t="inlineStr">
        <is>
          <t>killer chicken gravy masala curry no 9211</t>
        </is>
      </c>
      <c r="C140" t="inlineStr">
        <is>
          <t>No</t>
        </is>
      </c>
      <c r="F140" t="inlineStr">
        <is>
          <t>Unclear brand/intent – verify before using</t>
        </is>
      </c>
      <c r="G140" t="inlineStr">
        <is>
          <t>Generic</t>
        </is>
      </c>
      <c r="H140" t="inlineStr">
        <is>
          <t>High / Commercial</t>
        </is>
      </c>
    </row>
    <row r="141">
      <c r="A141" t="inlineStr">
        <is>
          <t>lemon grass paste for cooking</t>
        </is>
      </c>
      <c r="C141" t="inlineStr">
        <is>
          <t>No</t>
        </is>
      </c>
      <c r="F141" t="inlineStr">
        <is>
          <t>Single-ingredient paste, not a curry</t>
        </is>
      </c>
      <c r="G141" t="inlineStr">
        <is>
          <t>Generic</t>
        </is>
      </c>
      <c r="H141" t="inlineStr">
        <is>
          <t>High / Commercial</t>
        </is>
      </c>
    </row>
    <row r="142">
      <c r="A142" t="inlineStr">
        <is>
          <t>moi soi green thai curry paste</t>
        </is>
      </c>
      <c r="C142" t="inlineStr">
        <is>
          <t>No</t>
        </is>
      </c>
      <c r="F142" t="inlineStr">
        <is>
          <t>Thai / foreign cuisine – wrong flavour for a Chettinad paste</t>
        </is>
      </c>
      <c r="G142" t="inlineStr">
        <is>
          <t>Generic</t>
        </is>
      </c>
      <c r="H142" t="inlineStr">
        <is>
          <t>High / Commercial</t>
        </is>
      </c>
    </row>
    <row r="143">
      <c r="A143" t="inlineStr">
        <is>
          <t>moi soi thai curry paste</t>
        </is>
      </c>
      <c r="C143" t="inlineStr">
        <is>
          <t>No</t>
        </is>
      </c>
      <c r="F143" t="inlineStr">
        <is>
          <t>Thai / foreign cuisine – wrong flavour for a Chettinad paste</t>
        </is>
      </c>
      <c r="G143" t="inlineStr">
        <is>
          <t>Generic</t>
        </is>
      </c>
      <c r="H143" t="inlineStr">
        <is>
          <t>High / Commercial</t>
        </is>
      </c>
    </row>
    <row r="144">
      <c r="A144" t="inlineStr">
        <is>
          <t>mustard paste for fish curry</t>
        </is>
      </c>
      <c r="C144" t="inlineStr">
        <is>
          <t>No</t>
        </is>
      </c>
      <c r="F144" t="inlineStr">
        <is>
          <t>Other dish / other CURRYiT product – route elsewhere</t>
        </is>
      </c>
      <c r="G144" t="inlineStr">
        <is>
          <t>Generic</t>
        </is>
      </c>
      <c r="H144" t="inlineStr">
        <is>
          <t>High / Commercial</t>
        </is>
      </c>
    </row>
    <row r="145">
      <c r="A145" t="inlineStr">
        <is>
          <t>namjai thai green curry paste</t>
        </is>
      </c>
      <c r="C145" t="inlineStr">
        <is>
          <t>No</t>
        </is>
      </c>
      <c r="F145" t="inlineStr">
        <is>
          <t>Thai / foreign cuisine – wrong flavour for a Chettinad paste</t>
        </is>
      </c>
      <c r="G145" t="inlineStr">
        <is>
          <t>Generic</t>
        </is>
      </c>
      <c r="H145" t="inlineStr">
        <is>
          <t>High / Commercial</t>
        </is>
      </c>
    </row>
    <row r="146">
      <c r="A146" t="inlineStr">
        <is>
          <t>namjhai green curry paste</t>
        </is>
      </c>
      <c r="C146" t="inlineStr">
        <is>
          <t>No</t>
        </is>
      </c>
      <c r="F146" t="inlineStr">
        <is>
          <t>Thai / foreign cuisine – wrong flavour for a Chettinad paste</t>
        </is>
      </c>
      <c r="G146" t="inlineStr">
        <is>
          <t>Generic</t>
        </is>
      </c>
      <c r="H146" t="inlineStr">
        <is>
          <t>High / Commercial</t>
        </is>
      </c>
    </row>
    <row r="147">
      <c r="A147" t="inlineStr">
        <is>
          <t>paste hing for cooking</t>
        </is>
      </c>
      <c r="C147" t="inlineStr">
        <is>
          <t>No</t>
        </is>
      </c>
      <c r="F147" t="inlineStr">
        <is>
          <t>Single-ingredient paste, not a curry</t>
        </is>
      </c>
      <c r="G147" t="inlineStr">
        <is>
          <t>Generic</t>
        </is>
      </c>
      <c r="H147" t="inlineStr">
        <is>
          <t>High / Commercial</t>
        </is>
      </c>
    </row>
    <row r="148">
      <c r="A148" t="inlineStr">
        <is>
          <t>pure &amp; sure organic red thai curry paste</t>
        </is>
      </c>
      <c r="C148" t="inlineStr">
        <is>
          <t>No</t>
        </is>
      </c>
      <c r="F148" t="inlineStr">
        <is>
          <t>Pack size / diet / unrelated product</t>
        </is>
      </c>
      <c r="G148" t="inlineStr">
        <is>
          <t>Generic</t>
        </is>
      </c>
      <c r="H148" t="inlineStr">
        <is>
          <t>High / Commercial</t>
        </is>
      </c>
    </row>
    <row r="149">
      <c r="A149" t="inlineStr">
        <is>
          <t>pure and sure thai curry paste</t>
        </is>
      </c>
      <c r="C149" t="inlineStr">
        <is>
          <t>No</t>
        </is>
      </c>
      <c r="F149" t="inlineStr">
        <is>
          <t>Thai / foreign cuisine – wrong flavour for a Chettinad paste</t>
        </is>
      </c>
      <c r="G149" t="inlineStr">
        <is>
          <t>Generic</t>
        </is>
      </c>
      <c r="H149" t="inlineStr">
        <is>
          <t>High / Commercial</t>
        </is>
      </c>
    </row>
    <row r="150">
      <c r="A150" t="inlineStr">
        <is>
          <t>ready to cook curry mix</t>
        </is>
      </c>
      <c r="C150" t="inlineStr">
        <is>
          <t>Yes</t>
        </is>
      </c>
      <c r="D150" t="inlineStr">
        <is>
          <t>Generic</t>
        </is>
      </c>
      <c r="E150" t="inlineStr">
        <is>
          <t>Curry Paste / Ready to Cook</t>
        </is>
      </c>
      <c r="F150" t="inlineStr">
        <is>
          <t>Format match (paste / ready-to-cook)</t>
        </is>
      </c>
      <c r="G150" t="inlineStr">
        <is>
          <t>Generic</t>
        </is>
      </c>
      <c r="H150" t="inlineStr">
        <is>
          <t>High / Commercial</t>
        </is>
      </c>
    </row>
    <row r="151">
      <c r="A151" t="inlineStr">
        <is>
          <t>ready to cook kerala curry</t>
        </is>
      </c>
      <c r="C151" t="inlineStr">
        <is>
          <t>No</t>
        </is>
      </c>
      <c r="F151" t="inlineStr">
        <is>
          <t>Other dish / other CURRYiT product – route elsewhere</t>
        </is>
      </c>
      <c r="G151" t="inlineStr">
        <is>
          <t>Generic</t>
        </is>
      </c>
      <c r="H151" t="inlineStr">
        <is>
          <t>High / Commercial</t>
        </is>
      </c>
    </row>
    <row r="152">
      <c r="A152" t="inlineStr">
        <is>
          <t>ready to cook thai curry</t>
        </is>
      </c>
      <c r="C152" t="inlineStr">
        <is>
          <t>No</t>
        </is>
      </c>
      <c r="F152" t="inlineStr">
        <is>
          <t>Thai / foreign cuisine – wrong flavour for a Chettinad paste</t>
        </is>
      </c>
      <c r="G152" t="inlineStr">
        <is>
          <t>Generic</t>
        </is>
      </c>
      <c r="H152" t="inlineStr">
        <is>
          <t>High / Commercial</t>
        </is>
      </c>
    </row>
    <row r="153">
      <c r="A153" t="inlineStr">
        <is>
          <t>real thai original thai cuisine red curry paste</t>
        </is>
      </c>
      <c r="C153" t="inlineStr">
        <is>
          <t>No</t>
        </is>
      </c>
      <c r="F153" t="inlineStr">
        <is>
          <t>Thai / foreign cuisine – wrong flavour for a Chettinad paste</t>
        </is>
      </c>
      <c r="G153" t="inlineStr">
        <is>
          <t>Generic</t>
        </is>
      </c>
      <c r="H153" t="inlineStr">
        <is>
          <t>High / Commercial</t>
        </is>
      </c>
    </row>
    <row r="154">
      <c r="A154" t="inlineStr">
        <is>
          <t>real thai red curry paste amazon now</t>
        </is>
      </c>
      <c r="C154" t="inlineStr">
        <is>
          <t>No</t>
        </is>
      </c>
      <c r="F154" t="inlineStr">
        <is>
          <t>Thai / foreign cuisine – wrong flavour for a Chettinad paste</t>
        </is>
      </c>
      <c r="G154" t="inlineStr">
        <is>
          <t>Generic</t>
        </is>
      </c>
      <c r="H154" t="inlineStr">
        <is>
          <t>High / Commercial</t>
        </is>
      </c>
    </row>
    <row r="155">
      <c r="A155" t="inlineStr">
        <is>
          <t>red chilli paste for cooking</t>
        </is>
      </c>
      <c r="C155" t="inlineStr">
        <is>
          <t>No</t>
        </is>
      </c>
      <c r="F155" t="inlineStr">
        <is>
          <t>Single-ingredient paste, not a curry</t>
        </is>
      </c>
      <c r="G155" t="inlineStr">
        <is>
          <t>Generic</t>
        </is>
      </c>
      <c r="H155" t="inlineStr">
        <is>
          <t>High / Commercial</t>
        </is>
      </c>
    </row>
    <row r="156">
      <c r="A156" t="inlineStr">
        <is>
          <t>roasted coconut chicken curry masala</t>
        </is>
      </c>
      <c r="C156" t="inlineStr">
        <is>
          <t>No</t>
        </is>
      </c>
      <c r="F156" t="inlineStr">
        <is>
          <t>Other regional chicken masala – test only, not core</t>
        </is>
      </c>
      <c r="G156" t="inlineStr">
        <is>
          <t>Generic</t>
        </is>
      </c>
      <c r="H156" t="inlineStr">
        <is>
          <t>High / Commercial</t>
        </is>
      </c>
    </row>
    <row r="157">
      <c r="A157" t="inlineStr">
        <is>
          <t>sakthi chettinad chicken masala powder</t>
        </is>
      </c>
      <c r="C157" t="inlineStr">
        <is>
          <t>Yes</t>
        </is>
      </c>
      <c r="D157" t="inlineStr">
        <is>
          <t>Competitor</t>
        </is>
      </c>
      <c r="E157" t="inlineStr">
        <is>
          <t>Chettinad Competitors</t>
        </is>
      </c>
      <c r="F157" t="inlineStr">
        <is>
          <t>Competitor brand + Chettinad</t>
        </is>
      </c>
      <c r="G157" t="inlineStr">
        <is>
          <t>Generic</t>
        </is>
      </c>
      <c r="H157" t="inlineStr">
        <is>
          <t>High / Commercial</t>
        </is>
      </c>
    </row>
    <row r="158">
      <c r="A158" t="inlineStr">
        <is>
          <t>savji curry paste</t>
        </is>
      </c>
      <c r="C158" t="inlineStr">
        <is>
          <t>No</t>
        </is>
      </c>
      <c r="F158" t="inlineStr">
        <is>
          <t>Pack size / diet / unrelated product</t>
        </is>
      </c>
      <c r="G158" t="inlineStr">
        <is>
          <t>Generic</t>
        </is>
      </c>
      <c r="H158" t="inlineStr">
        <is>
          <t>High / Commercial</t>
        </is>
      </c>
    </row>
    <row r="159">
      <c r="A159" t="inlineStr">
        <is>
          <t>special chicken curry masala</t>
        </is>
      </c>
      <c r="C159" t="inlineStr">
        <is>
          <t>Yes</t>
        </is>
      </c>
      <c r="D159" t="inlineStr">
        <is>
          <t>Generic</t>
        </is>
      </c>
      <c r="E159" t="inlineStr">
        <is>
          <t>Chicken Curry Masala</t>
        </is>
      </c>
      <c r="F159" t="inlineStr">
        <is>
          <t>Same cooking need (chicken curry)</t>
        </is>
      </c>
      <c r="G159" t="inlineStr">
        <is>
          <t>Generic</t>
        </is>
      </c>
      <c r="H159" t="inlineStr">
        <is>
          <t>High / Commercial</t>
        </is>
      </c>
    </row>
    <row r="160">
      <c r="A160" t="inlineStr">
        <is>
          <t>spiced right chettinad masala</t>
        </is>
      </c>
      <c r="C160" t="inlineStr">
        <is>
          <t>Yes</t>
        </is>
      </c>
      <c r="D160" t="inlineStr">
        <is>
          <t>Competitor</t>
        </is>
      </c>
      <c r="E160" t="inlineStr">
        <is>
          <t>Chettinad Competitors</t>
        </is>
      </c>
      <c r="F160" t="inlineStr">
        <is>
          <t>Competitor brand + Chettinad</t>
        </is>
      </c>
      <c r="G160" t="inlineStr">
        <is>
          <t>Generic</t>
        </is>
      </c>
      <c r="H160" t="inlineStr">
        <is>
          <t>High / Commercial</t>
        </is>
      </c>
    </row>
    <row r="161">
      <c r="A161" t="inlineStr">
        <is>
          <t>srr chicken curry masala</t>
        </is>
      </c>
      <c r="C161" t="inlineStr">
        <is>
          <t>Yes</t>
        </is>
      </c>
      <c r="D161" t="inlineStr">
        <is>
          <t>Competitor</t>
        </is>
      </c>
      <c r="E161" t="inlineStr">
        <is>
          <t>Chicken Curry Masala Brands</t>
        </is>
      </c>
      <c r="F161" t="inlineStr">
        <is>
          <t>Competitor brand, chicken curry masala</t>
        </is>
      </c>
      <c r="G161" t="inlineStr">
        <is>
          <t>Generic</t>
        </is>
      </c>
      <c r="H161" t="inlineStr">
        <is>
          <t>High / Commercial</t>
        </is>
      </c>
    </row>
    <row r="162">
      <c r="A162" t="inlineStr">
        <is>
          <t>swadisht curry paste</t>
        </is>
      </c>
      <c r="C162" t="inlineStr">
        <is>
          <t>No</t>
        </is>
      </c>
      <c r="F162" t="inlineStr">
        <is>
          <t>Pack size / diet / unrelated product</t>
        </is>
      </c>
      <c r="G162" t="inlineStr">
        <is>
          <t>Generic</t>
        </is>
      </c>
      <c r="H162" t="inlineStr">
        <is>
          <t>High / Commercial</t>
        </is>
      </c>
    </row>
    <row r="163">
      <c r="A163" t="inlineStr">
        <is>
          <t>sweet karam coffee curry leaves paste</t>
        </is>
      </c>
      <c r="C163" t="inlineStr">
        <is>
          <t>No</t>
        </is>
      </c>
      <c r="F163" t="inlineStr">
        <is>
          <t>Pack size / diet / unrelated product</t>
        </is>
      </c>
      <c r="G163" t="inlineStr">
        <is>
          <t>Generic</t>
        </is>
      </c>
      <c r="H163" t="inlineStr">
        <is>
          <t>High / Commercial</t>
        </is>
      </c>
    </row>
    <row r="164">
      <c r="A164" t="inlineStr">
        <is>
          <t>tamarind paste for cooking 1 kg</t>
        </is>
      </c>
      <c r="C164" t="inlineStr">
        <is>
          <t>No</t>
        </is>
      </c>
      <c r="F164" t="inlineStr">
        <is>
          <t>Pack size / diet / unrelated product</t>
        </is>
      </c>
      <c r="G164" t="inlineStr">
        <is>
          <t>Generic</t>
        </is>
      </c>
      <c r="H164" t="inlineStr">
        <is>
          <t>High / Commercial</t>
        </is>
      </c>
    </row>
    <row r="165">
      <c r="A165" t="inlineStr">
        <is>
          <t>thai curry paste imported</t>
        </is>
      </c>
      <c r="C165" t="inlineStr">
        <is>
          <t>No</t>
        </is>
      </c>
      <c r="F165" t="inlineStr">
        <is>
          <t>Thai / foreign cuisine – wrong flavour for a Chettinad paste</t>
        </is>
      </c>
      <c r="G165" t="inlineStr">
        <is>
          <t>Generic</t>
        </is>
      </c>
      <c r="H165" t="inlineStr">
        <is>
          <t>High / Commercial</t>
        </is>
      </c>
    </row>
    <row r="166">
      <c r="A166" t="inlineStr">
        <is>
          <t>thai curry paste no onion no garlic</t>
        </is>
      </c>
      <c r="C166" t="inlineStr">
        <is>
          <t>No</t>
        </is>
      </c>
      <c r="F166" t="inlineStr">
        <is>
          <t>Jain / no onion-garlic; CURRYiT contains onion &amp; garlic</t>
        </is>
      </c>
      <c r="G166" t="inlineStr">
        <is>
          <t>Generic</t>
        </is>
      </c>
      <c r="H166" t="inlineStr">
        <is>
          <t>High / Commercial</t>
        </is>
      </c>
    </row>
    <row r="167">
      <c r="A167" t="inlineStr">
        <is>
          <t>thai curry paste organic</t>
        </is>
      </c>
      <c r="C167" t="inlineStr">
        <is>
          <t>No</t>
        </is>
      </c>
      <c r="F167" t="inlineStr">
        <is>
          <t>Pack size / diet / unrelated product</t>
        </is>
      </c>
      <c r="G167" t="inlineStr">
        <is>
          <t>Generic</t>
        </is>
      </c>
      <c r="H167" t="inlineStr">
        <is>
          <t>High / Commercial</t>
        </is>
      </c>
    </row>
    <row r="168">
      <c r="A168" t="inlineStr">
        <is>
          <t>thai green curry paste amazon now</t>
        </is>
      </c>
      <c r="C168" t="inlineStr">
        <is>
          <t>No</t>
        </is>
      </c>
      <c r="F168" t="inlineStr">
        <is>
          <t>Thai / foreign cuisine – wrong flavour for a Chettinad paste</t>
        </is>
      </c>
      <c r="G168" t="inlineStr">
        <is>
          <t>Generic</t>
        </is>
      </c>
      <c r="H168" t="inlineStr">
        <is>
          <t>High / Commercial</t>
        </is>
      </c>
    </row>
    <row r="169">
      <c r="A169" t="inlineStr">
        <is>
          <t>thai red curry paste non veg</t>
        </is>
      </c>
      <c r="C169" t="inlineStr">
        <is>
          <t>No</t>
        </is>
      </c>
      <c r="F169" t="inlineStr">
        <is>
          <t>Thai / foreign cuisine – wrong flavour for a Chettinad paste</t>
        </is>
      </c>
      <c r="G169" t="inlineStr">
        <is>
          <t>Generic</t>
        </is>
      </c>
      <c r="H169" t="inlineStr">
        <is>
          <t>High / Commercial</t>
        </is>
      </c>
    </row>
    <row r="170">
      <c r="A170" t="inlineStr">
        <is>
          <t>urban platter red thai curry paste</t>
        </is>
      </c>
      <c r="C170" t="inlineStr">
        <is>
          <t>No</t>
        </is>
      </c>
      <c r="F170" t="inlineStr">
        <is>
          <t>Thai / foreign cuisine – wrong flavour for a Chettinad paste</t>
        </is>
      </c>
      <c r="G170" t="inlineStr">
        <is>
          <t>Generic</t>
        </is>
      </c>
      <c r="H170" t="inlineStr">
        <is>
          <t>High / Commercial</t>
        </is>
      </c>
    </row>
    <row r="171">
      <c r="A171" t="inlineStr">
        <is>
          <t>urban platter thai green curry paste</t>
        </is>
      </c>
      <c r="C171" t="inlineStr">
        <is>
          <t>No</t>
        </is>
      </c>
      <c r="F171" t="inlineStr">
        <is>
          <t>Thai / foreign cuisine – wrong flavour for a Chettinad paste</t>
        </is>
      </c>
      <c r="G171" t="inlineStr">
        <is>
          <t>Generic</t>
        </is>
      </c>
      <c r="H171" t="inlineStr">
        <is>
          <t>High / Commercial</t>
        </is>
      </c>
    </row>
    <row r="172">
      <c r="A172" t="inlineStr">
        <is>
          <t>veg thai curry red paste</t>
        </is>
      </c>
      <c r="C172" t="inlineStr">
        <is>
          <t>No</t>
        </is>
      </c>
      <c r="F172" t="inlineStr">
        <is>
          <t>Thai / foreign cuisine – wrong flavour for a Chettinad paste</t>
        </is>
      </c>
      <c r="G172" t="inlineStr">
        <is>
          <t>Generic</t>
        </is>
      </c>
      <c r="H172" t="inlineStr">
        <is>
          <t>High / Commercial</t>
        </is>
      </c>
    </row>
    <row r="173">
      <c r="A173" t="inlineStr">
        <is>
          <t>wok n roll cooking paste</t>
        </is>
      </c>
      <c r="C173" t="inlineStr">
        <is>
          <t>No</t>
        </is>
      </c>
      <c r="F173" t="inlineStr">
        <is>
          <t>Pack size / diet / unrelated product</t>
        </is>
      </c>
      <c r="G173" t="inlineStr">
        <is>
          <t>Generic</t>
        </is>
      </c>
      <c r="H173" t="inlineStr">
        <is>
          <t>High / Commercial</t>
        </is>
      </c>
    </row>
    <row r="174">
      <c r="A174" t="inlineStr">
        <is>
          <t>yerchi coorg pork curry paste</t>
        </is>
      </c>
      <c r="C174" t="inlineStr">
        <is>
          <t>No</t>
        </is>
      </c>
      <c r="F174" t="inlineStr">
        <is>
          <t>Pack size / diet / unrelated product</t>
        </is>
      </c>
      <c r="G174" t="inlineStr">
        <is>
          <t>Generic</t>
        </is>
      </c>
      <c r="H174" t="inlineStr">
        <is>
          <t>High / Commercial</t>
        </is>
      </c>
    </row>
    <row r="175">
      <c r="A175" t="inlineStr">
        <is>
          <t>best chicken masala</t>
        </is>
      </c>
      <c r="B175" t="n">
        <v>720</v>
      </c>
      <c r="G175" t="inlineStr">
        <is>
          <t>Generic</t>
        </is>
      </c>
      <c r="H175" t="inlineStr">
        <is>
          <t>High / Commercial</t>
        </is>
      </c>
    </row>
    <row r="176">
      <c r="A176" t="inlineStr">
        <is>
          <t>curry paste for chicken</t>
        </is>
      </c>
      <c r="B176" t="n">
        <v>140</v>
      </c>
      <c r="G176" t="inlineStr">
        <is>
          <t>Generic</t>
        </is>
      </c>
      <c r="H176" t="inlineStr">
        <is>
          <t>High / Commercial</t>
        </is>
      </c>
    </row>
    <row r="177">
      <c r="A177" t="inlineStr">
        <is>
          <t>indian curry sauce</t>
        </is>
      </c>
      <c r="B177" t="n">
        <v>110</v>
      </c>
      <c r="G177" t="inlineStr">
        <is>
          <t>Generic</t>
        </is>
      </c>
      <c r="H177" t="inlineStr">
        <is>
          <t>High / Commercial</t>
        </is>
      </c>
    </row>
    <row r="178">
      <c r="A178" t="inlineStr">
        <is>
          <t>instant chicken biryani</t>
        </is>
      </c>
      <c r="B178" t="n">
        <v>110</v>
      </c>
      <c r="G178" t="inlineStr">
        <is>
          <t>Generic</t>
        </is>
      </c>
      <c r="H178" t="inlineStr">
        <is>
          <t>High / Commercial</t>
        </is>
      </c>
    </row>
    <row r="179">
      <c r="A179" t="inlineStr">
        <is>
          <t>instant chicken curry</t>
        </is>
      </c>
      <c r="B179" t="n">
        <v>110</v>
      </c>
      <c r="G179" t="inlineStr">
        <is>
          <t>Generic</t>
        </is>
      </c>
      <c r="H179" t="inlineStr">
        <is>
          <t>High / Commercial</t>
        </is>
      </c>
    </row>
    <row r="180">
      <c r="A180" t="inlineStr">
        <is>
          <t>instant chicken masala</t>
        </is>
      </c>
      <c r="B180" t="n">
        <v>90</v>
      </c>
      <c r="G180" t="inlineStr">
        <is>
          <t>Generic</t>
        </is>
      </c>
      <c r="H180" t="inlineStr">
        <is>
          <t>High / Commercial</t>
        </is>
      </c>
    </row>
    <row r="181">
      <c r="A181" t="inlineStr">
        <is>
          <t>chicken curry mix</t>
        </is>
      </c>
      <c r="B181" t="n">
        <v>70</v>
      </c>
      <c r="G181" t="inlineStr">
        <is>
          <t>Generic</t>
        </is>
      </c>
      <c r="H181" t="inlineStr">
        <is>
          <t>High / Commercial</t>
        </is>
      </c>
    </row>
    <row r="182">
      <c r="A182" t="inlineStr">
        <is>
          <t>best chicken curry masala</t>
        </is>
      </c>
      <c r="B182" t="n">
        <v>50</v>
      </c>
      <c r="G182" t="inlineStr">
        <is>
          <t>Generic</t>
        </is>
      </c>
      <c r="H182" t="inlineStr">
        <is>
          <t>High / Commercial</t>
        </is>
      </c>
    </row>
    <row r="183">
      <c r="A183" t="inlineStr">
        <is>
          <t>chicken masala online</t>
        </is>
      </c>
      <c r="B183" t="n">
        <v>50</v>
      </c>
      <c r="G183" t="inlineStr">
        <is>
          <t>Generic</t>
        </is>
      </c>
      <c r="H183" t="inlineStr">
        <is>
          <t>High / Commercial</t>
        </is>
      </c>
    </row>
    <row r="184">
      <c r="A184" t="inlineStr">
        <is>
          <t>instant butter chicken</t>
        </is>
      </c>
      <c r="B184" t="n">
        <v>40</v>
      </c>
      <c r="G184" t="inlineStr">
        <is>
          <t>Generic</t>
        </is>
      </c>
      <c r="H184" t="inlineStr">
        <is>
          <t>High / Commercial</t>
        </is>
      </c>
    </row>
    <row r="185">
      <c r="A185" t="inlineStr">
        <is>
          <t>chicken tikka masala online</t>
        </is>
      </c>
      <c r="B185" t="n">
        <v>30</v>
      </c>
      <c r="G185" t="inlineStr">
        <is>
          <t>Generic</t>
        </is>
      </c>
      <c r="H185" t="inlineStr">
        <is>
          <t>High / Commercial</t>
        </is>
      </c>
    </row>
    <row r="186">
      <c r="A186" t="inlineStr">
        <is>
          <t>ready made curry paste</t>
        </is>
      </c>
      <c r="B186" t="n">
        <v>30</v>
      </c>
      <c r="G186" t="inlineStr">
        <is>
          <t>Generic</t>
        </is>
      </c>
      <c r="H186" t="inlineStr">
        <is>
          <t>High / Commercial</t>
        </is>
      </c>
    </row>
    <row r="187">
      <c r="A187" t="inlineStr">
        <is>
          <t>ready to cook butter chicken</t>
        </is>
      </c>
      <c r="B187" t="n">
        <v>30</v>
      </c>
      <c r="G187" t="inlineStr">
        <is>
          <t>Generic</t>
        </is>
      </c>
      <c r="H187" t="inlineStr">
        <is>
          <t>High / Commercial</t>
        </is>
      </c>
    </row>
    <row r="188">
      <c r="A188" t="inlineStr">
        <is>
          <t>butter chicken masala online</t>
        </is>
      </c>
      <c r="B188" t="n">
        <v>20</v>
      </c>
      <c r="G188" t="inlineStr">
        <is>
          <t>Generic</t>
        </is>
      </c>
      <c r="H188" t="inlineStr">
        <is>
          <t>High / Commercial</t>
        </is>
      </c>
    </row>
    <row r="189">
      <c r="A189" t="inlineStr">
        <is>
          <t>curry paste near me</t>
        </is>
      </c>
      <c r="B189" t="n">
        <v>20</v>
      </c>
      <c r="G189" t="inlineStr">
        <is>
          <t>Generic</t>
        </is>
      </c>
      <c r="H189" t="inlineStr">
        <is>
          <t>High / Commercial</t>
        </is>
      </c>
    </row>
    <row r="190">
      <c r="A190" t="inlineStr">
        <is>
          <t>ready to cook chicken tikka</t>
        </is>
      </c>
      <c r="B190" t="n">
        <v>20</v>
      </c>
      <c r="G190" t="inlineStr">
        <is>
          <t>Generic</t>
        </is>
      </c>
      <c r="H190" t="inlineStr">
        <is>
          <t>High / Commercial</t>
        </is>
      </c>
    </row>
    <row r="191">
      <c r="A191" t="inlineStr">
        <is>
          <t>best chicken curry sauce</t>
        </is>
      </c>
      <c r="B191" t="n">
        <v>10</v>
      </c>
      <c r="G191" t="inlineStr">
        <is>
          <t>Generic</t>
        </is>
      </c>
      <c r="H191" t="inlineStr">
        <is>
          <t>High / Commercial</t>
        </is>
      </c>
    </row>
    <row r="192">
      <c r="A192" t="inlineStr">
        <is>
          <t>best indian curry paste</t>
        </is>
      </c>
      <c r="B192" t="n">
        <v>10</v>
      </c>
      <c r="G192" t="inlineStr">
        <is>
          <t>Generic</t>
        </is>
      </c>
      <c r="H192" t="inlineStr">
        <is>
          <t>High / Commercial</t>
        </is>
      </c>
    </row>
    <row r="193">
      <c r="A193" t="inlineStr">
        <is>
          <t>butter chicken curry sauce</t>
        </is>
      </c>
      <c r="B193" t="n">
        <v>10</v>
      </c>
      <c r="G193" t="inlineStr">
        <is>
          <t>Generic</t>
        </is>
      </c>
      <c r="H193" t="inlineStr">
        <is>
          <t>High / Commercial</t>
        </is>
      </c>
    </row>
    <row r="194">
      <c r="A194" t="inlineStr">
        <is>
          <t>butter chicken sauce online</t>
        </is>
      </c>
      <c r="B194" t="n">
        <v>10</v>
      </c>
      <c r="G194" t="inlineStr">
        <is>
          <t>Generic</t>
        </is>
      </c>
      <c r="H194" t="inlineStr">
        <is>
          <t>High / Commercial</t>
        </is>
      </c>
    </row>
    <row r="195">
      <c r="A195" t="inlineStr">
        <is>
          <t>buy curry paste online</t>
        </is>
      </c>
      <c r="B195" t="n">
        <v>10</v>
      </c>
      <c r="G195" t="inlineStr">
        <is>
          <t>Generic</t>
        </is>
      </c>
      <c r="H195" t="inlineStr">
        <is>
          <t>High / Commercial</t>
        </is>
      </c>
    </row>
    <row r="196">
      <c r="A196" t="inlineStr">
        <is>
          <t>chicken biryani masala online</t>
        </is>
      </c>
      <c r="B196" t="n">
        <v>10</v>
      </c>
      <c r="G196" t="inlineStr">
        <is>
          <t>Generic</t>
        </is>
      </c>
      <c r="H196" t="inlineStr">
        <is>
          <t>High / Commercial</t>
        </is>
      </c>
    </row>
    <row r="197">
      <c r="A197" t="inlineStr">
        <is>
          <t>chicken curry kit</t>
        </is>
      </c>
      <c r="B197" t="n">
        <v>10</v>
      </c>
      <c r="G197" t="inlineStr">
        <is>
          <t>Generic</t>
        </is>
      </c>
      <c r="H197" t="inlineStr">
        <is>
          <t>Generic / Mixed</t>
        </is>
      </c>
    </row>
    <row r="198">
      <c r="A198" t="inlineStr">
        <is>
          <t>chicken curry seasoning</t>
        </is>
      </c>
      <c r="B198" t="n">
        <v>10</v>
      </c>
      <c r="G198" t="inlineStr">
        <is>
          <t>Generic</t>
        </is>
      </c>
      <c r="H198" t="inlineStr">
        <is>
          <t>Generic / Mixed</t>
        </is>
      </c>
    </row>
    <row r="199">
      <c r="A199" t="inlineStr">
        <is>
          <t>indian chicken curry paste</t>
        </is>
      </c>
      <c r="B199" t="n">
        <v>10</v>
      </c>
      <c r="G199" t="inlineStr">
        <is>
          <t>Generic</t>
        </is>
      </c>
      <c r="H199" t="inlineStr">
        <is>
          <t>High / Commercial</t>
        </is>
      </c>
    </row>
    <row r="200">
      <c r="A200" t="inlineStr">
        <is>
          <t>indian chicken curry sauce</t>
        </is>
      </c>
      <c r="B200" t="n">
        <v>10</v>
      </c>
      <c r="G200" t="inlineStr">
        <is>
          <t>Generic</t>
        </is>
      </c>
      <c r="H200" t="inlineStr">
        <is>
          <t>High / Commercial</t>
        </is>
      </c>
    </row>
    <row r="201">
      <c r="A201" t="inlineStr">
        <is>
          <t>indian masala paste</t>
        </is>
      </c>
      <c r="B201" t="n">
        <v>10</v>
      </c>
      <c r="G201" t="inlineStr">
        <is>
          <t>Generic</t>
        </is>
      </c>
      <c r="H201" t="inlineStr">
        <is>
          <t>High / Commercial</t>
        </is>
      </c>
    </row>
    <row r="202">
      <c r="A202" t="inlineStr">
        <is>
          <t>instant chicken curry paste</t>
        </is>
      </c>
      <c r="B202" t="n">
        <v>10</v>
      </c>
      <c r="G202" t="inlineStr">
        <is>
          <t>Generic</t>
        </is>
      </c>
      <c r="H202" t="inlineStr">
        <is>
          <t>High / Commercial</t>
        </is>
      </c>
    </row>
    <row r="203">
      <c r="A203" t="inlineStr">
        <is>
          <t>ready made butter chicken</t>
        </is>
      </c>
      <c r="B203" t="n">
        <v>10</v>
      </c>
      <c r="G203" t="inlineStr">
        <is>
          <t>Generic</t>
        </is>
      </c>
      <c r="H203" t="inlineStr">
        <is>
          <t>High / Commercial</t>
        </is>
      </c>
    </row>
    <row r="204">
      <c r="A204" t="inlineStr">
        <is>
          <t>ready made chicken tikka</t>
        </is>
      </c>
      <c r="B204" t="n">
        <v>10</v>
      </c>
      <c r="G204" t="inlineStr">
        <is>
          <t>Generic</t>
        </is>
      </c>
      <c r="H204" t="inlineStr">
        <is>
          <t>High / Commercial</t>
        </is>
      </c>
    </row>
    <row r="205">
      <c r="A205" t="inlineStr">
        <is>
          <t>ready made indian curry</t>
        </is>
      </c>
      <c r="B205" t="n">
        <v>10</v>
      </c>
      <c r="G205" t="inlineStr">
        <is>
          <t>Generic</t>
        </is>
      </c>
      <c r="H205" t="inlineStr">
        <is>
          <t>High / Commercial</t>
        </is>
      </c>
    </row>
    <row r="206">
      <c r="A206" t="inlineStr">
        <is>
          <t>ready to make chicken curry</t>
        </is>
      </c>
      <c r="B206" t="n">
        <v>10</v>
      </c>
      <c r="G206" t="inlineStr">
        <is>
          <t>Generic</t>
        </is>
      </c>
      <c r="H206" t="inlineStr">
        <is>
          <t>Generic / Mixed</t>
        </is>
      </c>
    </row>
  </sheetData>
  <autoFilter ref="A1:H206"/>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H7"/>
    </sheetView>
  </sheetViews>
  <sheetFormatPr baseColWidth="8" defaultRowHeight="14.4"/>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curry it ginger garlic paste</t>
        </is>
      </c>
      <c r="B2" t="n">
        <v>90</v>
      </c>
      <c r="C2" t="inlineStr">
        <is>
          <t>No</t>
        </is>
      </c>
      <c r="F2" t="inlineStr">
        <is>
          <t>Own brand, other product – route to that product's campaign</t>
        </is>
      </c>
      <c r="G2" t="inlineStr">
        <is>
          <t>Brand</t>
        </is>
      </c>
      <c r="H2" t="inlineStr">
        <is>
          <t>High / Commercial</t>
        </is>
      </c>
    </row>
    <row r="3">
      <c r="A3" t="inlineStr">
        <is>
          <t>curryit chettinad chicken curry masala paste</t>
        </is>
      </c>
      <c r="C3" t="inlineStr">
        <is>
          <t>Yes</t>
        </is>
      </c>
      <c r="D3" t="inlineStr">
        <is>
          <t>Brand</t>
        </is>
      </c>
      <c r="E3" t="inlineStr">
        <is>
          <t>Brand + Chettinad</t>
        </is>
      </c>
      <c r="F3" t="inlineStr">
        <is>
          <t>Own brand + exact product</t>
        </is>
      </c>
      <c r="G3" t="inlineStr">
        <is>
          <t>Brand</t>
        </is>
      </c>
      <c r="H3" t="inlineStr">
        <is>
          <t>High / Commercial</t>
        </is>
      </c>
    </row>
    <row r="4">
      <c r="A4" t="inlineStr">
        <is>
          <t>curryit punjabi kadhai paneer masala premium cooking paste</t>
        </is>
      </c>
      <c r="C4" t="inlineStr">
        <is>
          <t>No</t>
        </is>
      </c>
      <c r="F4" t="inlineStr">
        <is>
          <t>Own brand, other product – route to that product's campaign</t>
        </is>
      </c>
      <c r="G4" t="inlineStr">
        <is>
          <t>Brand</t>
        </is>
      </c>
      <c r="H4" t="inlineStr">
        <is>
          <t>High / Commercial</t>
        </is>
      </c>
    </row>
    <row r="5">
      <c r="A5" t="inlineStr">
        <is>
          <t>curryit</t>
        </is>
      </c>
      <c r="B5" t="n">
        <v>1300</v>
      </c>
      <c r="D5" t="inlineStr">
        <is>
          <t>Brand</t>
        </is>
      </c>
      <c r="E5" t="inlineStr">
        <is>
          <t xml:space="preserve">Brand </t>
        </is>
      </c>
      <c r="F5" t="inlineStr">
        <is>
          <t>Brand keyword – directly searches for CURRYiT</t>
        </is>
      </c>
      <c r="G5" t="inlineStr">
        <is>
          <t>Brand</t>
        </is>
      </c>
      <c r="H5" t="inlineStr">
        <is>
          <t>Generic / Mixed</t>
        </is>
      </c>
    </row>
    <row r="6">
      <c r="A6" t="inlineStr">
        <is>
          <t>Curryit paste</t>
        </is>
      </c>
      <c r="D6" t="inlineStr">
        <is>
          <t>Brand</t>
        </is>
      </c>
      <c r="E6" t="inlineStr">
        <is>
          <t xml:space="preserve">Brand </t>
        </is>
      </c>
      <c r="F6" t="inlineStr">
        <is>
          <t>Brand keyword – directly searches for CURRYiT paste</t>
        </is>
      </c>
      <c r="G6" t="inlineStr">
        <is>
          <t>Brand</t>
        </is>
      </c>
      <c r="H6" t="inlineStr">
        <is>
          <t>High / Commercial</t>
        </is>
      </c>
    </row>
    <row r="7">
      <c r="A7" t="inlineStr">
        <is>
          <t>curry it</t>
        </is>
      </c>
      <c r="B7" t="n">
        <v>2400</v>
      </c>
      <c r="D7" t="inlineStr">
        <is>
          <t>Brand</t>
        </is>
      </c>
      <c r="E7" t="inlineStr">
        <is>
          <t xml:space="preserve">Brand </t>
        </is>
      </c>
      <c r="F7" t="inlineStr">
        <is>
          <t>Brand keyword – alternate spelling of CURRYiT</t>
        </is>
      </c>
      <c r="G7" t="inlineStr">
        <is>
          <t>Brand</t>
        </is>
      </c>
      <c r="H7" t="inlineStr">
        <is>
          <t>Generic / Mixed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2"/>
  <sheetViews>
    <sheetView workbookViewId="0">
      <selection activeCell="L21" sqref="L21"/>
    </sheetView>
  </sheetViews>
  <sheetFormatPr baseColWidth="8" defaultRowHeight="14.4"/>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mae ploy thai curry paste</t>
        </is>
      </c>
      <c r="B2" t="n">
        <v>480</v>
      </c>
      <c r="C2" t="inlineStr">
        <is>
          <t>No</t>
        </is>
      </c>
      <c r="F2" t="inlineStr">
        <is>
          <t>Thai / foreign cuisine – wrong flavour for a Chettinad paste</t>
        </is>
      </c>
      <c r="G2" t="inlineStr">
        <is>
          <t>Competitor</t>
        </is>
      </c>
      <c r="H2" t="inlineStr">
        <is>
          <t>High / Commercial</t>
        </is>
      </c>
    </row>
    <row r="3">
      <c r="A3" t="inlineStr">
        <is>
          <t>thai kitchen red curry paste</t>
        </is>
      </c>
      <c r="B3" t="n">
        <v>170</v>
      </c>
      <c r="C3" t="inlineStr">
        <is>
          <t>No</t>
        </is>
      </c>
      <c r="F3" t="inlineStr">
        <is>
          <t>Thai / foreign cuisine – wrong flavour for a Chettinad paste</t>
        </is>
      </c>
      <c r="G3" t="inlineStr">
        <is>
          <t>Competitor</t>
        </is>
      </c>
      <c r="H3" t="inlineStr">
        <is>
          <t>High / Commercial</t>
        </is>
      </c>
    </row>
    <row r="4">
      <c r="A4" t="inlineStr">
        <is>
          <t>mdh chicken curry masala</t>
        </is>
      </c>
      <c r="B4" t="n">
        <v>140</v>
      </c>
      <c r="C4" t="inlineStr">
        <is>
          <t>Yes</t>
        </is>
      </c>
      <c r="D4" t="inlineStr">
        <is>
          <t>Competitor</t>
        </is>
      </c>
      <c r="E4" t="inlineStr">
        <is>
          <t>Chicken Curry Masala Brands</t>
        </is>
      </c>
      <c r="F4" t="inlineStr">
        <is>
          <t>Competitor brand, chicken curry masala</t>
        </is>
      </c>
      <c r="G4" t="inlineStr">
        <is>
          <t>Competitor</t>
        </is>
      </c>
      <c r="H4" t="inlineStr">
        <is>
          <t>High / Commercial</t>
        </is>
      </c>
    </row>
    <row r="5">
      <c r="A5" t="inlineStr">
        <is>
          <t>blue elephant curry paste</t>
        </is>
      </c>
      <c r="B5" t="n">
        <v>90</v>
      </c>
      <c r="C5" t="inlineStr">
        <is>
          <t>No</t>
        </is>
      </c>
      <c r="F5" t="inlineStr">
        <is>
          <t>Thai / foreign cuisine – wrong flavour for a Chettinad paste</t>
        </is>
      </c>
      <c r="G5" t="inlineStr">
        <is>
          <t>Competitor</t>
        </is>
      </c>
      <c r="H5" t="inlineStr">
        <is>
          <t>High / Commercial</t>
        </is>
      </c>
    </row>
    <row r="6">
      <c r="A6" t="inlineStr">
        <is>
          <t>blue elephant thai curry paste</t>
        </is>
      </c>
      <c r="B6" t="n">
        <v>90</v>
      </c>
      <c r="C6" t="inlineStr">
        <is>
          <t>No</t>
        </is>
      </c>
      <c r="F6" t="inlineStr">
        <is>
          <t>Thai / foreign cuisine – wrong flavour for a Chettinad paste</t>
        </is>
      </c>
      <c r="G6" t="inlineStr">
        <is>
          <t>Competitor</t>
        </is>
      </c>
      <c r="H6" t="inlineStr">
        <is>
          <t>High / Commercial</t>
        </is>
      </c>
    </row>
    <row r="7">
      <c r="A7" t="inlineStr">
        <is>
          <t>suhana chicken curry masala</t>
        </is>
      </c>
      <c r="B7" t="n">
        <v>90</v>
      </c>
      <c r="C7" t="inlineStr">
        <is>
          <t>Yes</t>
        </is>
      </c>
      <c r="D7" t="inlineStr">
        <is>
          <t>Competitor</t>
        </is>
      </c>
      <c r="E7" t="inlineStr">
        <is>
          <t>Chicken Curry Masala Brands</t>
        </is>
      </c>
      <c r="F7" t="inlineStr">
        <is>
          <t>Competitor brand, chicken curry masala</t>
        </is>
      </c>
      <c r="G7" t="inlineStr">
        <is>
          <t>Competitor</t>
        </is>
      </c>
      <c r="H7" t="inlineStr">
        <is>
          <t>High / Commercial</t>
        </is>
      </c>
    </row>
    <row r="8">
      <c r="A8" t="inlineStr">
        <is>
          <t>knorr thai curry paste</t>
        </is>
      </c>
      <c r="B8" t="n">
        <v>70</v>
      </c>
      <c r="C8" t="inlineStr">
        <is>
          <t>No</t>
        </is>
      </c>
      <c r="F8" t="inlineStr">
        <is>
          <t>Thai / foreign cuisine – wrong flavour for a Chettinad paste</t>
        </is>
      </c>
      <c r="G8" t="inlineStr">
        <is>
          <t>Competitor</t>
        </is>
      </c>
      <c r="H8" t="inlineStr">
        <is>
          <t>High / Commercial</t>
        </is>
      </c>
    </row>
    <row r="9">
      <c r="A9" t="inlineStr">
        <is>
          <t>everest chicken curry masala</t>
        </is>
      </c>
      <c r="B9" t="n">
        <v>50</v>
      </c>
      <c r="C9" t="inlineStr">
        <is>
          <t>Yes</t>
        </is>
      </c>
      <c r="D9" t="inlineStr">
        <is>
          <t>Competitor</t>
        </is>
      </c>
      <c r="E9" t="inlineStr">
        <is>
          <t>Chicken Curry Masala Brands</t>
        </is>
      </c>
      <c r="F9" t="inlineStr">
        <is>
          <t>Competitor brand, chicken curry masala</t>
        </is>
      </c>
      <c r="G9" t="inlineStr">
        <is>
          <t>Competitor</t>
        </is>
      </c>
      <c r="H9" t="inlineStr">
        <is>
          <t>High / Commercial</t>
        </is>
      </c>
    </row>
    <row r="10">
      <c r="A10" t="inlineStr">
        <is>
          <t>thai kitchen green curry paste</t>
        </is>
      </c>
      <c r="B10" t="n">
        <v>50</v>
      </c>
      <c r="C10" t="inlineStr">
        <is>
          <t>No</t>
        </is>
      </c>
      <c r="F10" t="inlineStr">
        <is>
          <t>Thai / foreign cuisine – wrong flavour for a Chettinad paste</t>
        </is>
      </c>
      <c r="G10" t="inlineStr">
        <is>
          <t>Competitor</t>
        </is>
      </c>
      <c r="H10" t="inlineStr">
        <is>
          <t>High / Commercial</t>
        </is>
      </c>
    </row>
    <row r="11">
      <c r="A11" t="inlineStr">
        <is>
          <t>knorr green thai curry paste</t>
        </is>
      </c>
      <c r="B11" t="n">
        <v>40</v>
      </c>
      <c r="C11" t="inlineStr">
        <is>
          <t>No</t>
        </is>
      </c>
      <c r="F11" t="inlineStr">
        <is>
          <t>Thai / foreign cuisine – wrong flavour for a Chettinad paste</t>
        </is>
      </c>
      <c r="G11" t="inlineStr">
        <is>
          <t>Competitor</t>
        </is>
      </c>
      <c r="H11" t="inlineStr">
        <is>
          <t>High / Commercial</t>
        </is>
      </c>
    </row>
    <row r="12">
      <c r="A12" t="inlineStr">
        <is>
          <t>aachi chicken curry masala</t>
        </is>
      </c>
      <c r="B12" t="n">
        <v>30</v>
      </c>
      <c r="C12" t="inlineStr">
        <is>
          <t>Yes</t>
        </is>
      </c>
      <c r="D12" t="inlineStr">
        <is>
          <t>Competitor</t>
        </is>
      </c>
      <c r="E12" t="inlineStr">
        <is>
          <t>Chicken Curry Masala Brands</t>
        </is>
      </c>
      <c r="F12" t="inlineStr">
        <is>
          <t>Competitor brand, chicken curry masala</t>
        </is>
      </c>
      <c r="G12" t="inlineStr">
        <is>
          <t>Competitor</t>
        </is>
      </c>
      <c r="H12" t="inlineStr">
        <is>
          <t>High / Commercial</t>
        </is>
      </c>
    </row>
    <row r="13">
      <c r="A13" t="inlineStr">
        <is>
          <t>aachi curry leaf rice paste</t>
        </is>
      </c>
      <c r="B13" t="n">
        <v>30</v>
      </c>
      <c r="C13" t="inlineStr">
        <is>
          <t>No</t>
        </is>
      </c>
      <c r="F13" t="inlineStr">
        <is>
          <t>Pack size / diet / unrelated product</t>
        </is>
      </c>
      <c r="G13" t="inlineStr">
        <is>
          <t>Competitor</t>
        </is>
      </c>
      <c r="H13" t="inlineStr">
        <is>
          <t>High / Commercial</t>
        </is>
      </c>
    </row>
    <row r="14">
      <c r="A14" t="inlineStr">
        <is>
          <t>blue elephant green curry paste</t>
        </is>
      </c>
      <c r="B14" t="n">
        <v>30</v>
      </c>
      <c r="C14" t="inlineStr">
        <is>
          <t>No</t>
        </is>
      </c>
      <c r="F14" t="inlineStr">
        <is>
          <t>Thai / foreign cuisine – wrong flavour for a Chettinad paste</t>
        </is>
      </c>
      <c r="G14" t="inlineStr">
        <is>
          <t>Competitor</t>
        </is>
      </c>
      <c r="H14" t="inlineStr">
        <is>
          <t>High / Commercial</t>
        </is>
      </c>
    </row>
    <row r="15">
      <c r="A15" t="inlineStr">
        <is>
          <t>blue elephant thai green curry paste</t>
        </is>
      </c>
      <c r="B15" t="n">
        <v>30</v>
      </c>
      <c r="C15" t="inlineStr">
        <is>
          <t>No</t>
        </is>
      </c>
      <c r="F15" t="inlineStr">
        <is>
          <t>Thai / foreign cuisine – wrong flavour for a Chettinad paste</t>
        </is>
      </c>
      <c r="G15" t="inlineStr">
        <is>
          <t>Competitor</t>
        </is>
      </c>
      <c r="H15" t="inlineStr">
        <is>
          <t>High / Commercial</t>
        </is>
      </c>
    </row>
    <row r="16">
      <c r="A16" t="inlineStr">
        <is>
          <t>itc master chef butter chicken cooking paste</t>
        </is>
      </c>
      <c r="B16" t="n">
        <v>30</v>
      </c>
      <c r="C16" t="inlineStr">
        <is>
          <t>No</t>
        </is>
      </c>
      <c r="F16" t="inlineStr">
        <is>
          <t>Other dish / other CURRYiT product – route elsewhere</t>
        </is>
      </c>
      <c r="G16" t="inlineStr">
        <is>
          <t>Competitor</t>
        </is>
      </c>
      <c r="H16" t="inlineStr">
        <is>
          <t>High / Commercial</t>
        </is>
      </c>
    </row>
    <row r="17">
      <c r="A17" t="inlineStr">
        <is>
          <t>aachi chettinad chicken biryani masala</t>
        </is>
      </c>
      <c r="B17" t="n">
        <v>20</v>
      </c>
      <c r="C17" t="inlineStr">
        <is>
          <t>No</t>
        </is>
      </c>
      <c r="F17" t="inlineStr">
        <is>
          <t>Biryani – different dish</t>
        </is>
      </c>
      <c r="G17" t="inlineStr">
        <is>
          <t>Competitor</t>
        </is>
      </c>
      <c r="H17" t="inlineStr">
        <is>
          <t>High / Commercial</t>
        </is>
      </c>
    </row>
    <row r="18">
      <c r="A18" t="inlineStr">
        <is>
          <t>itc cooking paste</t>
        </is>
      </c>
      <c r="B18" t="n">
        <v>20</v>
      </c>
      <c r="C18" t="inlineStr">
        <is>
          <t>Yes</t>
        </is>
      </c>
      <c r="D18" t="inlineStr">
        <is>
          <t>Competitor</t>
        </is>
      </c>
      <c r="E18" t="inlineStr">
        <is>
          <t>Cooking Paste Brands</t>
        </is>
      </c>
      <c r="F18" t="inlineStr">
        <is>
          <t>Competitor brand, same paste format</t>
        </is>
      </c>
      <c r="G18" t="inlineStr">
        <is>
          <t>Competitor</t>
        </is>
      </c>
      <c r="H18" t="inlineStr">
        <is>
          <t>High / Commercial</t>
        </is>
      </c>
    </row>
    <row r="19">
      <c r="A19" t="inlineStr">
        <is>
          <t>itc master chef cooking paste</t>
        </is>
      </c>
      <c r="B19" t="n">
        <v>20</v>
      </c>
      <c r="C19" t="inlineStr">
        <is>
          <t>Yes</t>
        </is>
      </c>
      <c r="D19" t="inlineStr">
        <is>
          <t>Competitor</t>
        </is>
      </c>
      <c r="E19" t="inlineStr">
        <is>
          <t>Cooking Paste Brands</t>
        </is>
      </c>
      <c r="F19" t="inlineStr">
        <is>
          <t>Competitor brand, same paste format</t>
        </is>
      </c>
      <c r="G19" t="inlineStr">
        <is>
          <t>Competitor</t>
        </is>
      </c>
      <c r="H19" t="inlineStr">
        <is>
          <t>High / Commercial</t>
        </is>
      </c>
    </row>
    <row r="20">
      <c r="A20" t="inlineStr">
        <is>
          <t>priya non veg curry masala paste</t>
        </is>
      </c>
      <c r="B20" t="n">
        <v>20</v>
      </c>
      <c r="C20" t="inlineStr">
        <is>
          <t>Yes</t>
        </is>
      </c>
      <c r="D20" t="inlineStr">
        <is>
          <t>Competitor</t>
        </is>
      </c>
      <c r="E20" t="inlineStr">
        <is>
          <t>Cooking Paste Brands</t>
        </is>
      </c>
      <c r="F20" t="inlineStr">
        <is>
          <t>Competitor brand, same paste format</t>
        </is>
      </c>
      <c r="G20" t="inlineStr">
        <is>
          <t>Competitor</t>
        </is>
      </c>
      <c r="H20" t="inlineStr">
        <is>
          <t>High / Commercial</t>
        </is>
      </c>
    </row>
    <row r="21">
      <c r="A21" t="inlineStr">
        <is>
          <t>aachi chettinad chicken masala</t>
        </is>
      </c>
      <c r="B21" t="n">
        <v>10</v>
      </c>
      <c r="C21" t="inlineStr">
        <is>
          <t>Yes</t>
        </is>
      </c>
      <c r="D21" t="inlineStr">
        <is>
          <t>Competitor</t>
        </is>
      </c>
      <c r="E21" t="inlineStr">
        <is>
          <t>Chettinad Competitors</t>
        </is>
      </c>
      <c r="F21" t="inlineStr">
        <is>
          <t>Competitor brand + Chettinad</t>
        </is>
      </c>
      <c r="G21" t="inlineStr">
        <is>
          <t>Competitor</t>
        </is>
      </c>
      <c r="H21" t="inlineStr">
        <is>
          <t>High / Commercial</t>
        </is>
      </c>
    </row>
    <row r="22">
      <c r="A22" t="inlineStr">
        <is>
          <t>blue elephant red thai curry paste</t>
        </is>
      </c>
      <c r="B22" t="n">
        <v>10</v>
      </c>
      <c r="C22" t="inlineStr">
        <is>
          <t>No</t>
        </is>
      </c>
      <c r="F22" t="inlineStr">
        <is>
          <t>Thai / foreign cuisine – wrong flavour for a Chettinad paste</t>
        </is>
      </c>
      <c r="G22" t="inlineStr">
        <is>
          <t>Competitor</t>
        </is>
      </c>
      <c r="H22" t="inlineStr">
        <is>
          <t>High / Commercial</t>
        </is>
      </c>
    </row>
    <row r="23">
      <c r="A23" t="inlineStr">
        <is>
          <t>itc masterchef cooking paste</t>
        </is>
      </c>
      <c r="B23" t="n">
        <v>10</v>
      </c>
      <c r="C23" t="inlineStr">
        <is>
          <t>Yes</t>
        </is>
      </c>
      <c r="D23" t="inlineStr">
        <is>
          <t>Competitor</t>
        </is>
      </c>
      <c r="E23" t="inlineStr">
        <is>
          <t>Cooking Paste Brands</t>
        </is>
      </c>
      <c r="F23" t="inlineStr">
        <is>
          <t>Competitor brand, same paste format</t>
        </is>
      </c>
      <c r="G23" t="inlineStr">
        <is>
          <t>Competitor</t>
        </is>
      </c>
      <c r="H23" t="inlineStr">
        <is>
          <t>High / Commercial</t>
        </is>
      </c>
    </row>
    <row r="24">
      <c r="A24" t="inlineStr">
        <is>
          <t>shan chicken curry masala</t>
        </is>
      </c>
      <c r="B24" t="n">
        <v>10</v>
      </c>
      <c r="C24" t="inlineStr">
        <is>
          <t>Yes</t>
        </is>
      </c>
      <c r="D24" t="inlineStr">
        <is>
          <t>Competitor</t>
        </is>
      </c>
      <c r="E24" t="inlineStr">
        <is>
          <t>Chicken Curry Masala Brands</t>
        </is>
      </c>
      <c r="F24" t="inlineStr">
        <is>
          <t>Competitor brand, chicken curry masala</t>
        </is>
      </c>
      <c r="G24" t="inlineStr">
        <is>
          <t>Competitor</t>
        </is>
      </c>
      <c r="H24" t="inlineStr">
        <is>
          <t>High / Commercial</t>
        </is>
      </c>
    </row>
    <row r="25">
      <c r="A25" t="inlineStr">
        <is>
          <t>aachi chettinad masala</t>
        </is>
      </c>
      <c r="C25" t="inlineStr">
        <is>
          <t>Yes</t>
        </is>
      </c>
      <c r="D25" t="inlineStr">
        <is>
          <t>Competitor</t>
        </is>
      </c>
      <c r="E25" t="inlineStr">
        <is>
          <t>Chettinad Competitors</t>
        </is>
      </c>
      <c r="F25" t="inlineStr">
        <is>
          <t>Competitor brand + Chettinad</t>
        </is>
      </c>
      <c r="G25" t="inlineStr">
        <is>
          <t>Competitor</t>
        </is>
      </c>
      <c r="H25" t="inlineStr">
        <is>
          <t>High / Commercial</t>
        </is>
      </c>
    </row>
    <row r="26">
      <c r="A26" t="inlineStr">
        <is>
          <t>chettinad masala mtr</t>
        </is>
      </c>
      <c r="C26" t="inlineStr">
        <is>
          <t>Yes</t>
        </is>
      </c>
      <c r="D26" t="inlineStr">
        <is>
          <t>Competitor</t>
        </is>
      </c>
      <c r="E26" t="inlineStr">
        <is>
          <t>Chettinad Competitors</t>
        </is>
      </c>
      <c r="F26" t="inlineStr">
        <is>
          <t>Competitor brand + Chettinad</t>
        </is>
      </c>
      <c r="G26" t="inlineStr">
        <is>
          <t>Competitor</t>
        </is>
      </c>
      <c r="H26" t="inlineStr">
        <is>
          <t>High / Commercial</t>
        </is>
      </c>
    </row>
    <row r="27">
      <c r="A27" t="inlineStr">
        <is>
          <t>itc butter chicken cooking paste</t>
        </is>
      </c>
      <c r="C27" t="inlineStr">
        <is>
          <t>No</t>
        </is>
      </c>
      <c r="F27" t="inlineStr">
        <is>
          <t>Other dish / other CURRYiT product – route elsewhere</t>
        </is>
      </c>
      <c r="G27" t="inlineStr">
        <is>
          <t>Competitor</t>
        </is>
      </c>
      <c r="H27" t="inlineStr">
        <is>
          <t>High / Commercial</t>
        </is>
      </c>
    </row>
    <row r="28">
      <c r="A28" t="inlineStr">
        <is>
          <t>itc curry paste</t>
        </is>
      </c>
      <c r="C28" t="inlineStr">
        <is>
          <t>Yes</t>
        </is>
      </c>
      <c r="D28" t="inlineStr">
        <is>
          <t>Competitor</t>
        </is>
      </c>
      <c r="E28" t="inlineStr">
        <is>
          <t>Cooking Paste Brands</t>
        </is>
      </c>
      <c r="F28" t="inlineStr">
        <is>
          <t>Competitor brand, same paste format</t>
        </is>
      </c>
      <c r="G28" t="inlineStr">
        <is>
          <t>Competitor</t>
        </is>
      </c>
      <c r="H28" t="inlineStr">
        <is>
          <t>High / Commercial</t>
        </is>
      </c>
    </row>
    <row r="29">
      <c r="A29" t="inlineStr">
        <is>
          <t>mother's recipe chicken curry masala</t>
        </is>
      </c>
      <c r="C29" t="inlineStr">
        <is>
          <t>Yes</t>
        </is>
      </c>
      <c r="D29" t="inlineStr">
        <is>
          <t>Competitor</t>
        </is>
      </c>
      <c r="E29" t="inlineStr">
        <is>
          <t>Chicken Curry Masala Brands</t>
        </is>
      </c>
      <c r="F29" t="inlineStr">
        <is>
          <t>Competitor brand, chicken curry masala</t>
        </is>
      </c>
      <c r="G29" t="inlineStr">
        <is>
          <t>Competitor</t>
        </is>
      </c>
      <c r="H29" t="inlineStr">
        <is>
          <t>High / Commercial</t>
        </is>
      </c>
    </row>
    <row r="30">
      <c r="A30" t="inlineStr">
        <is>
          <t>mothers recipe chicken chettinad masala</t>
        </is>
      </c>
      <c r="C30" t="inlineStr">
        <is>
          <t>Yes</t>
        </is>
      </c>
      <c r="D30" t="inlineStr">
        <is>
          <t>Competitor</t>
        </is>
      </c>
      <c r="E30" t="inlineStr">
        <is>
          <t>Chettinad Competitors</t>
        </is>
      </c>
      <c r="F30" t="inlineStr">
        <is>
          <t>Competitor brand + Chettinad</t>
        </is>
      </c>
      <c r="G30" t="inlineStr">
        <is>
          <t>Competitor</t>
        </is>
      </c>
      <c r="H30" t="inlineStr">
        <is>
          <t>High / Commercial</t>
        </is>
      </c>
    </row>
    <row r="31">
      <c r="A31" t="inlineStr">
        <is>
          <t>saffola masala oats chicken curry flavour</t>
        </is>
      </c>
      <c r="C31" t="inlineStr">
        <is>
          <t>No</t>
        </is>
      </c>
      <c r="F31" t="inlineStr">
        <is>
          <t>Pack size / diet / unrelated product</t>
        </is>
      </c>
      <c r="G31" t="inlineStr">
        <is>
          <t>Competitor</t>
        </is>
      </c>
      <c r="H31" t="inlineStr">
        <is>
          <t>High / Commercial</t>
        </is>
      </c>
    </row>
    <row r="32">
      <c r="A32" t="inlineStr">
        <is>
          <t>tata sampann chicken curry masala</t>
        </is>
      </c>
      <c r="C32" t="inlineStr">
        <is>
          <t>Yes</t>
        </is>
      </c>
      <c r="D32" t="inlineStr">
        <is>
          <t>Competitor</t>
        </is>
      </c>
      <c r="E32" t="inlineStr">
        <is>
          <t>Chicken Curry Masala Brands</t>
        </is>
      </c>
      <c r="F32" t="inlineStr">
        <is>
          <t>Competitor brand, chicken curry masala</t>
        </is>
      </c>
      <c r="G32" t="inlineStr">
        <is>
          <t>Competitor</t>
        </is>
      </c>
      <c r="H32" t="inlineStr">
        <is>
          <t>High / Commercial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9"/>
  <sheetViews>
    <sheetView zoomScale="49" zoomScaleNormal="77" workbookViewId="0">
      <selection activeCell="J7" sqref="J7"/>
    </sheetView>
  </sheetViews>
  <sheetFormatPr baseColWidth="8" defaultRowHeight="14.4"/>
  <cols>
    <col width="53.6640625" customWidth="1" style="13" min="1" max="2"/>
    <col width="33.44140625" customWidth="1" style="13" min="3" max="4"/>
    <col width="32.109375" customWidth="1" style="13" min="5" max="5"/>
    <col width="47.33203125" customWidth="1" style="13" min="6" max="6"/>
    <col width="59.5546875" customWidth="1" style="13" min="7" max="7"/>
    <col width="29.77734375" customWidth="1" style="13" min="8" max="8"/>
    <col width="8.88671875" customWidth="1" style="13" min="9" max="9"/>
    <col width="37" customWidth="1" style="13" min="10" max="10"/>
    <col width="8.88671875" customWidth="1" style="13" min="11" max="16384"/>
  </cols>
  <sheetData>
    <row r="1">
      <c r="A1" s="45" t="n"/>
      <c r="B1" s="45" t="inlineStr">
        <is>
          <t>SPONSERED Product – Chettinad Chicken Curry Paste</t>
        </is>
      </c>
    </row>
    <row r="2">
      <c r="A2" s="12" t="inlineStr">
        <is>
          <t>ASIN- B0G1YXWM2P</t>
        </is>
      </c>
      <c r="B2" s="2" t="n"/>
      <c r="C2" s="2" t="n"/>
      <c r="D2" s="2" t="n"/>
      <c r="E2" s="2" t="n"/>
      <c r="F2" s="2" t="n"/>
    </row>
    <row r="3">
      <c r="A3" s="2" t="n"/>
      <c r="B3" s="2" t="n"/>
      <c r="C3" s="2" t="n"/>
      <c r="D3" s="2" t="n"/>
      <c r="E3" s="2" t="n"/>
      <c r="F3" s="2" t="n"/>
      <c r="G3" s="2" t="n"/>
    </row>
    <row r="4">
      <c r="A4" s="3" t="inlineStr">
        <is>
          <t>Campaign Objective</t>
        </is>
      </c>
      <c r="B4" s="3" t="inlineStr">
        <is>
          <t>Campaign Name</t>
        </is>
      </c>
      <c r="C4" s="3" t="inlineStr">
        <is>
          <t>Ad grp Name</t>
        </is>
      </c>
      <c r="D4" s="3" t="inlineStr">
        <is>
          <t>Bidding Strategy</t>
        </is>
      </c>
      <c r="E4" s="3" t="inlineStr">
        <is>
          <t xml:space="preserve">Advertised Product </t>
        </is>
      </c>
      <c r="F4" s="3" t="inlineStr">
        <is>
          <t>Targetting</t>
        </is>
      </c>
      <c r="G4" s="3" t="inlineStr">
        <is>
          <t>Negative Targetting</t>
        </is>
      </c>
    </row>
    <row r="5">
      <c r="A5" s="10" t="n"/>
      <c r="B5" s="10" t="inlineStr">
        <is>
          <t>Auto</t>
        </is>
      </c>
      <c r="C5" s="8" t="n"/>
      <c r="D5" s="8" t="n"/>
      <c r="E5" s="8" t="n"/>
      <c r="F5" s="8" t="n"/>
      <c r="G5" s="8" t="n"/>
    </row>
    <row r="6">
      <c r="A6" s="4" t="n"/>
      <c r="B6" s="4" t="n"/>
      <c r="C6" s="4" t="n"/>
      <c r="D6" s="4" t="n"/>
      <c r="E6" s="4" t="n"/>
      <c r="F6" s="4" t="n"/>
      <c r="G6" s="4" t="n"/>
    </row>
    <row r="7" ht="409.2" customHeight="1">
      <c r="A7" s="5" t="inlineStr">
        <is>
          <t>Conversion</t>
        </is>
      </c>
      <c r="B7" s="5" t="inlineStr">
        <is>
          <t>SP/ChettinadChicken /Auto</t>
        </is>
      </c>
      <c r="C7" s="5" t="inlineStr">
        <is>
          <t>ChettinadChicken-Auto</t>
        </is>
      </c>
      <c r="D7" s="5" t="inlineStr">
        <is>
          <t>Down only</t>
        </is>
      </c>
      <c r="E7" s="4" t="inlineStr">
        <is>
          <t xml:space="preserve"> B0G1YXWM2P</t>
        </is>
      </c>
      <c r="F7" s="5" t="inlineStr">
        <is>
          <t>- Close
- Loose
- Substitute 
- Complements</t>
        </is>
      </c>
      <c r="G7" s="25" t="inlineStr">
        <is>
          <t xml:space="preserve">Negate in Exact:
curry it
curryit
chicken curry masala
chettinad masala
chicken chettinad masala
curry paste
chicken curry masala powder
chettinad masala powder
chicken curry masala
chettinad chicken masala powder
cookd chettinad masala
curry paste indian
non veg curry masala paste
sakthi chettinad chicken masala
zoff chicken curry masala
ready to cook curry
mutton curry paste
ready to cook chicken curry
cooking pastes
india gate chettinad chicken masala
india gate classic chettinad chicken masala
ready to cook curry paste
mdh chicken curry masala
suhana chicken curry masala
everest chicken curry masala
aachi chicken curry masala
itc cooking paste
itc master chef cooking paste
priya non veg curry masala paste
aachi chettinad chicken masala
itc masterchef cooking paste
shan chicken curry masala
Negate Product:
B079H3DFP7
B0FLP9NYR1
B07BH4B384
B08MFLHMJC
B0CY8KKGGP
B09BD5VW64
B09BD5BNJ7
B0917NY7X6
B09BD583S6
B08H284SNC
B0777JV82Z
B0BV76DCY6
B0DPJ3P467
B0C53VBXVM
B0BV7783X7
B0C58S9P1K
B0G1YZ3K4T
B0G1Z87RV9
B0CL9D1PHY
B0G1YZ5K91
</t>
        </is>
      </c>
      <c r="J7" s="45" t="n"/>
    </row>
    <row r="8">
      <c r="A8" s="4" t="n"/>
      <c r="B8" s="4" t="n"/>
      <c r="C8" s="4" t="n"/>
      <c r="D8" s="4" t="n"/>
      <c r="E8" s="4" t="n"/>
      <c r="F8" s="4" t="n"/>
      <c r="G8" s="4" t="n"/>
    </row>
    <row r="9">
      <c r="A9" s="10" t="n"/>
      <c r="B9" s="10" t="inlineStr">
        <is>
          <t>Brand KW</t>
        </is>
      </c>
      <c r="C9" s="8" t="n"/>
      <c r="D9" s="8" t="n"/>
      <c r="E9" s="8" t="n"/>
      <c r="F9" s="8" t="n"/>
      <c r="G9" s="8" t="n"/>
    </row>
    <row r="10" ht="358.2" customHeight="1">
      <c r="A10" s="5" t="inlineStr">
        <is>
          <t>Conversion</t>
        </is>
      </c>
      <c r="B10" s="5" t="inlineStr">
        <is>
          <t>SP/ChettinadChicken/Brand KWs/Exact</t>
        </is>
      </c>
      <c r="C10" s="4" t="inlineStr">
        <is>
          <t>ChettinadChicken-Brand Kws- Exact</t>
        </is>
      </c>
      <c r="D10" s="4" t="inlineStr">
        <is>
          <t>Up and Down</t>
        </is>
      </c>
      <c r="E10" s="4" t="inlineStr">
        <is>
          <t xml:space="preserve"> B0G1YXWM2P</t>
        </is>
      </c>
      <c r="F10" s="4" t="inlineStr">
        <is>
          <t>curry it
curryit</t>
        </is>
      </c>
      <c r="G10" s="6" t="inlineStr">
        <is>
          <t>NA</t>
        </is>
      </c>
    </row>
    <row r="11">
      <c r="A11" s="4" t="n"/>
      <c r="B11" s="4" t="n"/>
      <c r="C11" s="4" t="n"/>
      <c r="D11" s="4" t="n"/>
      <c r="E11" s="4" t="n"/>
      <c r="F11" s="4" t="n"/>
      <c r="G11" s="4" t="n"/>
    </row>
    <row r="12" ht="43.2" customHeight="1">
      <c r="A12" s="5" t="inlineStr">
        <is>
          <t>Conversion</t>
        </is>
      </c>
      <c r="B12" s="5" t="inlineStr">
        <is>
          <t>SP/ChettinadChicken/Brand KWs/Phrase</t>
        </is>
      </c>
      <c r="C12" s="4" t="inlineStr">
        <is>
          <t>ChettinadChicken-Brand Kws- Phrase</t>
        </is>
      </c>
      <c r="D12" s="4" t="inlineStr">
        <is>
          <t>Up and Down</t>
        </is>
      </c>
      <c r="E12" s="4" t="inlineStr">
        <is>
          <t xml:space="preserve"> B0G1YXWM2P</t>
        </is>
      </c>
      <c r="F12" s="4" t="inlineStr">
        <is>
          <t>curry it
curryit</t>
        </is>
      </c>
      <c r="G12" s="25" t="inlineStr">
        <is>
          <t>Negate In EXACT
curry it
curryit</t>
        </is>
      </c>
    </row>
    <row r="13">
      <c r="A13" s="4" t="n"/>
      <c r="B13" s="4" t="n"/>
      <c r="C13" s="4" t="n"/>
      <c r="D13" s="4" t="n"/>
      <c r="E13" s="4" t="n"/>
      <c r="F13" s="4" t="n"/>
      <c r="G13" s="4" t="n"/>
    </row>
    <row r="14" ht="181.2" customHeight="1">
      <c r="A14" s="5" t="inlineStr">
        <is>
          <t>Conversion</t>
        </is>
      </c>
      <c r="B14" s="5" t="inlineStr">
        <is>
          <t>SP/ChettinadChicken/Brand KWs/Broad</t>
        </is>
      </c>
      <c r="C14" s="4" t="inlineStr">
        <is>
          <t>ChettinadChicken-Brand Kws- Broad</t>
        </is>
      </c>
      <c r="D14" s="4" t="inlineStr">
        <is>
          <t>Down Only</t>
        </is>
      </c>
      <c r="E14" s="4" t="inlineStr">
        <is>
          <t xml:space="preserve"> B0G1YXWM2P</t>
        </is>
      </c>
      <c r="F14" s="4" t="inlineStr">
        <is>
          <t>curry it
curryit</t>
        </is>
      </c>
      <c r="G14" s="25" t="inlineStr">
        <is>
          <t>Negate In Phrase
curry it
curryit</t>
        </is>
      </c>
    </row>
    <row r="15">
      <c r="A15" s="4" t="n"/>
      <c r="B15" s="4" t="n"/>
      <c r="C15" s="4" t="n"/>
      <c r="D15" s="4" t="n"/>
      <c r="E15" s="4" t="n"/>
      <c r="F15" s="4" t="n"/>
      <c r="G15" s="4" t="n"/>
    </row>
    <row r="16">
      <c r="A16" s="11" t="n"/>
      <c r="B16" s="11" t="inlineStr">
        <is>
          <t>Generic KWS</t>
        </is>
      </c>
      <c r="C16" s="8" t="n"/>
      <c r="D16" s="8" t="n"/>
      <c r="E16" s="8" t="n"/>
      <c r="F16" s="8" t="n"/>
      <c r="G16" s="8" t="n"/>
    </row>
    <row r="17" ht="409.2" customHeight="1">
      <c r="A17" s="5" t="inlineStr">
        <is>
          <t>Conversion</t>
        </is>
      </c>
      <c r="B17" s="5" t="inlineStr">
        <is>
          <t>SP/ChettinadChicken/Generic KWs/Exact</t>
        </is>
      </c>
      <c r="C17" s="4" t="inlineStr">
        <is>
          <t>ChettinadChicken-Geneirc Kws- Exact</t>
        </is>
      </c>
      <c r="D17" s="4" t="inlineStr">
        <is>
          <t>Up and Down</t>
        </is>
      </c>
      <c r="E17" s="4" t="inlineStr">
        <is>
          <t xml:space="preserve"> B0G1YXWM2P</t>
        </is>
      </c>
      <c r="F17"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7" s="6" t="inlineStr">
        <is>
          <t>NA</t>
        </is>
      </c>
    </row>
    <row r="18">
      <c r="A18" s="4" t="n"/>
      <c r="B18" s="4" t="n"/>
      <c r="C18" s="4" t="n"/>
      <c r="D18" s="4" t="n"/>
      <c r="E18" s="4" t="n"/>
      <c r="F18" s="4" t="n"/>
      <c r="G18" s="4" t="n"/>
    </row>
    <row r="19" ht="259.2" customHeight="1">
      <c r="A19" s="5" t="inlineStr">
        <is>
          <t>Conversion</t>
        </is>
      </c>
      <c r="B19" s="5" t="inlineStr">
        <is>
          <t>SP/ChettinadChicken/Generic KWs/Phrase</t>
        </is>
      </c>
      <c r="C19" s="4" t="inlineStr">
        <is>
          <t>ChettinadChicken-Geneirc Kws- Phrase</t>
        </is>
      </c>
      <c r="D19" s="4" t="inlineStr">
        <is>
          <t>Up and Down</t>
        </is>
      </c>
      <c r="E19" s="4" t="inlineStr">
        <is>
          <t xml:space="preserve"> B0G1YXWM2P</t>
        </is>
      </c>
      <c r="F19"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9" s="25" t="inlineStr">
        <is>
          <t>Negate in exact-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0">
      <c r="A20" s="4" t="n"/>
      <c r="B20" s="4" t="n"/>
      <c r="C20" s="4" t="n"/>
      <c r="D20" s="4" t="n"/>
      <c r="E20" s="4" t="n"/>
      <c r="F20" s="4" t="n"/>
      <c r="G20" s="4" t="n"/>
    </row>
    <row r="21" ht="306.6" customHeight="1">
      <c r="A21" s="5" t="inlineStr">
        <is>
          <t>Conversion</t>
        </is>
      </c>
      <c r="B21" s="5" t="inlineStr">
        <is>
          <t>SP/ChettinadChicken/Generic KWs/Broad</t>
        </is>
      </c>
      <c r="C21" s="4" t="inlineStr">
        <is>
          <t>ChettinadChicken-Geneirc Kws- Broad</t>
        </is>
      </c>
      <c r="D21" s="4" t="inlineStr">
        <is>
          <t>Down Only</t>
        </is>
      </c>
      <c r="E21" s="4" t="inlineStr">
        <is>
          <t xml:space="preserve"> B0G1YXWM2P</t>
        </is>
      </c>
      <c r="F21"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21" s="25" t="inlineStr">
        <is>
          <t>Negate in Phrase-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2">
      <c r="A22" s="4" t="n"/>
      <c r="B22" s="4" t="n"/>
      <c r="C22" s="4" t="n"/>
      <c r="D22" s="4" t="n"/>
      <c r="E22" s="4" t="n"/>
      <c r="F22" s="4" t="n"/>
      <c r="G22" s="4" t="n"/>
    </row>
    <row r="23">
      <c r="A23" s="10" t="n"/>
      <c r="B23" s="10" t="inlineStr">
        <is>
          <t>Competitiors Kws</t>
        </is>
      </c>
      <c r="C23" s="8" t="n"/>
      <c r="D23" s="8" t="n"/>
      <c r="E23" s="8" t="n"/>
      <c r="F23" s="8" t="n"/>
      <c r="G23" s="8" t="n"/>
    </row>
    <row r="24">
      <c r="A24" s="4" t="n"/>
      <c r="B24" s="4" t="n"/>
      <c r="C24" s="4" t="n"/>
      <c r="D24" s="4" t="n"/>
      <c r="E24" s="4" t="n"/>
      <c r="F24" s="4" t="n"/>
      <c r="G24" s="4" t="n"/>
    </row>
    <row r="25" ht="274.8" customHeight="1">
      <c r="A25" s="5" t="inlineStr">
        <is>
          <t>Consideration/ Awarness</t>
        </is>
      </c>
      <c r="B25" s="5" t="inlineStr">
        <is>
          <t>SP/ChettinadChicken/Comp KWs/Exact</t>
        </is>
      </c>
      <c r="C25" s="4" t="inlineStr">
        <is>
          <t>ChettinadChicken-Comp Kws- Exact</t>
        </is>
      </c>
      <c r="D25" s="4" t="inlineStr">
        <is>
          <t>Down Only</t>
        </is>
      </c>
      <c r="E25" s="4" t="inlineStr">
        <is>
          <t xml:space="preserve"> B0G1YXWM2P</t>
        </is>
      </c>
      <c r="F25"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5" s="6" t="inlineStr">
        <is>
          <t>NA</t>
        </is>
      </c>
    </row>
    <row r="26">
      <c r="A26" s="4" t="n"/>
      <c r="B26" s="4" t="n"/>
      <c r="C26" s="4" t="n"/>
      <c r="D26" s="4" t="n"/>
      <c r="E26" s="4" t="n"/>
      <c r="F26" s="4" t="n"/>
      <c r="G26" s="4" t="n"/>
    </row>
    <row r="27" ht="366.6" customHeight="1">
      <c r="A27" s="5" t="inlineStr">
        <is>
          <t>Consideration/ Awarness</t>
        </is>
      </c>
      <c r="B27" s="5" t="inlineStr">
        <is>
          <t>SP/ChettinadChicken/Comp KWs/Phrase</t>
        </is>
      </c>
      <c r="C27" s="4" t="inlineStr">
        <is>
          <t>ChettinadChicken-Comp Kws- Phrase</t>
        </is>
      </c>
      <c r="D27" s="4" t="inlineStr">
        <is>
          <t>Down Only</t>
        </is>
      </c>
      <c r="E27" s="4" t="inlineStr">
        <is>
          <t xml:space="preserve"> B0G1YXWM2P</t>
        </is>
      </c>
      <c r="F27"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7" s="25" t="inlineStr">
        <is>
          <t>Negate in exact-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28">
      <c r="A28" s="4" t="n"/>
      <c r="B28" s="4" t="n"/>
      <c r="C28" s="4" t="n"/>
      <c r="D28" s="4" t="n"/>
      <c r="E28" s="4" t="n"/>
      <c r="F28" s="4" t="n"/>
      <c r="G28" s="4" t="n"/>
    </row>
    <row r="29" ht="172.8" customHeight="1">
      <c r="A29" s="5" t="inlineStr">
        <is>
          <t>Consideration/ Awarness</t>
        </is>
      </c>
      <c r="B29" s="5" t="inlineStr">
        <is>
          <t>SP/ChettinadChicken/Comp KWs/Broad</t>
        </is>
      </c>
      <c r="C29" s="4" t="inlineStr">
        <is>
          <t>ChettinadChicken-Comp Kws- Broad</t>
        </is>
      </c>
      <c r="D29" s="4" t="inlineStr">
        <is>
          <t>Down Only</t>
        </is>
      </c>
      <c r="E29" s="4" t="inlineStr">
        <is>
          <t xml:space="preserve"> B0G1YXWM2P</t>
        </is>
      </c>
      <c r="F29"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9" s="25" t="inlineStr">
        <is>
          <t>Negate in Phrase-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30">
      <c r="A30" s="4" t="n"/>
      <c r="B30" s="4" t="n"/>
      <c r="C30" s="4" t="n"/>
      <c r="D30" s="4" t="n"/>
      <c r="E30" s="4" t="n"/>
      <c r="F30" s="4" t="n"/>
      <c r="G30" s="4" t="n"/>
    </row>
    <row r="31">
      <c r="A31" s="10" t="n"/>
      <c r="B31" s="10" t="inlineStr">
        <is>
          <t xml:space="preserve">Category </t>
        </is>
      </c>
      <c r="C31" s="8" t="n"/>
      <c r="D31" s="8" t="n"/>
      <c r="E31" s="8" t="n"/>
      <c r="F31" s="8" t="n"/>
      <c r="G31" s="8" t="n"/>
    </row>
    <row r="32">
      <c r="A32" s="4" t="n"/>
      <c r="B32" s="4" t="n"/>
      <c r="C32" s="4" t="n"/>
      <c r="D32" s="4" t="n"/>
      <c r="E32" s="4" t="n"/>
      <c r="F32" s="4" t="n"/>
      <c r="G32" s="4" t="n"/>
    </row>
    <row r="33" ht="379.2" customHeight="1">
      <c r="A33" s="5" t="inlineStr">
        <is>
          <t>Awareness</t>
        </is>
      </c>
      <c r="B33" s="5" t="inlineStr">
        <is>
          <t>SP/Whey Protein/CT</t>
        </is>
      </c>
      <c r="C33" s="4" t="inlineStr">
        <is>
          <t>ChettinadChicken- CT</t>
        </is>
      </c>
      <c r="D33" s="4" t="inlineStr">
        <is>
          <t>Down Only</t>
        </is>
      </c>
      <c r="E33" s="4" t="inlineStr">
        <is>
          <t xml:space="preserve"> B0G1YXWM2P</t>
        </is>
      </c>
      <c r="F33" s="4" t="inlineStr">
        <is>
          <t>Cooking &amp; Baking Supplies›Spices &amp; Masalas›Powdered Spices, Seasonings &amp; Masalas›Mixed Spices &amp; Seasonings›Ready Masalas &amp; Curry Powder</t>
        </is>
      </c>
      <c r="G33" s="25" t="inlineStr">
        <is>
          <t xml:space="preserve">Negate in exact-
B079H3DFP7
B0FLP9NYR1
B07BH4B384
B08MFLHMJC
B0CY8KKGGP
B09BD5VW64
B09BD5BNJ7
B0917NY7X6
B09BD583S6
B08H284SNC
B0777JV82Z
B0BV76DCY6
B0DPJ3P467
B0C53VBXVM
B0BV7783X7
B0C58S9P1K
</t>
        </is>
      </c>
    </row>
    <row r="34">
      <c r="A34" s="4" t="n"/>
      <c r="B34" s="4" t="n"/>
      <c r="C34" s="4" t="n"/>
      <c r="D34" s="4" t="n"/>
      <c r="E34" s="4" t="n"/>
      <c r="F34" s="4" t="n"/>
      <c r="G34" s="4" t="n"/>
    </row>
    <row r="35">
      <c r="A35" s="10" t="n"/>
      <c r="B35" s="10" t="inlineStr">
        <is>
          <t xml:space="preserve">Individual </t>
        </is>
      </c>
      <c r="C35" s="8" t="n"/>
      <c r="D35" s="8" t="n"/>
      <c r="E35" s="8" t="n"/>
      <c r="F35" s="8" t="n"/>
      <c r="G35" s="8" t="n"/>
    </row>
    <row r="36">
      <c r="A36" s="4" t="n"/>
      <c r="B36" s="4" t="n"/>
      <c r="C36" s="4" t="n"/>
      <c r="D36" s="4" t="n"/>
      <c r="E36" s="4" t="n"/>
      <c r="F36" s="4" t="n"/>
      <c r="G36" s="4" t="n"/>
    </row>
    <row r="37" ht="230.4" customHeight="1">
      <c r="A37" s="5" t="inlineStr">
        <is>
          <t>Consideration</t>
        </is>
      </c>
      <c r="B37" s="5" t="inlineStr">
        <is>
          <t>SP/Whey Protein/IP/CompTar</t>
        </is>
      </c>
      <c r="C37" s="4" t="inlineStr">
        <is>
          <t>ChettinadChicken- IP</t>
        </is>
      </c>
      <c r="D37" s="9" t="inlineStr">
        <is>
          <t>Down Only</t>
        </is>
      </c>
      <c r="E37" s="4" t="inlineStr">
        <is>
          <t xml:space="preserve"> B0G1YXWM2P</t>
        </is>
      </c>
      <c r="F37" s="4" t="inlineStr">
        <is>
          <t>B079H3DFP7
B0FLP9NYR1
B07BH4B384
B08MFLHMJC
B0CY8KKGGP
B09BD5VW64
B09BD5BNJ7
B0917NY7X6
B09BD583S6
B08H284SNC
B0777JV82Z
B0BV76DCY6
B0DPJ3P467
B0C53VBXVM
B0BV7783X7
B0C58S9P1K</t>
        </is>
      </c>
      <c r="G37" s="6" t="inlineStr">
        <is>
          <t>NA</t>
        </is>
      </c>
    </row>
    <row r="38">
      <c r="A38" s="19" t="n"/>
      <c r="B38" s="19" t="n"/>
      <c r="C38" s="19" t="n"/>
      <c r="E38" s="19" t="n"/>
      <c r="F38" s="19" t="n"/>
      <c r="G38" s="19" t="n"/>
    </row>
    <row r="39" ht="57.6" customHeight="1">
      <c r="A39" s="5" t="inlineStr">
        <is>
          <t>Conversion</t>
        </is>
      </c>
      <c r="B39" s="5" t="inlineStr">
        <is>
          <t>SP/Whey Protein/IP/BrandTar</t>
        </is>
      </c>
      <c r="C39" s="4" t="inlineStr">
        <is>
          <t>ChettinadChicken- IP</t>
        </is>
      </c>
      <c r="D39" s="9" t="inlineStr">
        <is>
          <t>Down Only</t>
        </is>
      </c>
      <c r="E39" s="4" t="inlineStr">
        <is>
          <t xml:space="preserve"> B0G1YXWM2P</t>
        </is>
      </c>
      <c r="F39" s="4" t="inlineStr">
        <is>
          <t>B0G1YZ3K4T
B0G1Z87RV9
B0CL9D1PHY
B0G1YZ5K91</t>
        </is>
      </c>
      <c r="G39" s="6" t="inlineStr">
        <is>
          <t>NA</t>
        </is>
      </c>
    </row>
  </sheetData>
  <mergeCells count="1">
    <mergeCell ref="B1:G1"/>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H49"/>
  <sheetViews>
    <sheetView topLeftCell="A19" zoomScale="60" workbookViewId="0">
      <selection activeCell="B19" sqref="B19:B26"/>
    </sheetView>
  </sheetViews>
  <sheetFormatPr baseColWidth="8" defaultRowHeight="14.4"/>
  <cols>
    <col width="36.6640625" customWidth="1" style="63" min="1" max="1"/>
    <col width="46.6640625" customWidth="1" style="1" min="2" max="2"/>
    <col width="53.77734375" customWidth="1" min="3" max="3"/>
    <col width="39.6640625" customWidth="1" min="4" max="4"/>
    <col width="68.88671875" customWidth="1" min="5" max="5"/>
    <col width="62.33203125" customWidth="1" min="6" max="6"/>
    <col width="56.109375" customWidth="1" min="7" max="7"/>
    <col width="119.33203125" customWidth="1" min="8" max="8"/>
  </cols>
  <sheetData>
    <row r="1" ht="18" customHeight="1">
      <c r="A1" s="54" t="n"/>
      <c r="B1" s="55" t="inlineStr">
        <is>
          <t>SPONSERED BRAND (SB) – ChettinadChicken Chettinad Chicken Curry Paste</t>
        </is>
      </c>
    </row>
    <row r="2" ht="13.2" customFormat="1" customHeight="1" s="3">
      <c r="A2" s="20" t="inlineStr">
        <is>
          <t>Campaign Objective</t>
        </is>
      </c>
      <c r="B2" s="15" t="inlineStr">
        <is>
          <t>Campaign Name</t>
        </is>
      </c>
      <c r="C2" s="3" t="inlineStr">
        <is>
          <t>Ad grp Name</t>
        </is>
      </c>
      <c r="D2" s="3" t="inlineStr">
        <is>
          <t>Advertised Product</t>
        </is>
      </c>
      <c r="E2" s="3" t="inlineStr">
        <is>
          <t>Ad Format</t>
        </is>
      </c>
      <c r="F2" s="3" t="inlineStr">
        <is>
          <t>Targeting</t>
        </is>
      </c>
      <c r="G2" s="3" t="inlineStr">
        <is>
          <t>Negative Targeting</t>
        </is>
      </c>
      <c r="H2" s="15" t="n"/>
    </row>
    <row r="3">
      <c r="A3" s="54" t="inlineStr">
        <is>
          <t>Conversion</t>
        </is>
      </c>
      <c r="B3" s="48" t="inlineStr">
        <is>
          <t>SB/ChettinadChicken/Video/Brand kws-Exact</t>
        </is>
      </c>
      <c r="C3" s="50" t="inlineStr">
        <is>
          <t>Video - Brand Exact</t>
        </is>
      </c>
      <c r="D3" s="50" t="inlineStr">
        <is>
          <t>B0G1YXWM2P</t>
        </is>
      </c>
      <c r="E3" s="50" t="inlineStr">
        <is>
          <t>Video</t>
        </is>
      </c>
      <c r="F3" s="47" t="inlineStr">
        <is>
          <t>curry it
curryit</t>
        </is>
      </c>
      <c r="G3" s="46" t="inlineStr">
        <is>
          <t>N/A</t>
        </is>
      </c>
    </row>
    <row r="4">
      <c r="A4" s="71" t="n"/>
      <c r="B4" s="72" t="n"/>
      <c r="C4" s="71" t="n"/>
      <c r="D4" s="71" t="n"/>
      <c r="E4" s="71" t="n"/>
      <c r="F4" s="71" t="n"/>
      <c r="G4" s="71" t="n"/>
    </row>
    <row r="5">
      <c r="A5" s="71" t="n"/>
      <c r="B5" s="72" t="n"/>
      <c r="C5" s="71" t="n"/>
      <c r="D5" s="71" t="n"/>
      <c r="E5" s="71" t="n"/>
      <c r="F5" s="71" t="n"/>
      <c r="G5" s="71" t="n"/>
    </row>
    <row r="6" ht="97.2" customHeight="1">
      <c r="A6" s="73" t="n"/>
      <c r="B6" s="74" t="n"/>
      <c r="C6" s="73" t="n"/>
      <c r="D6" s="73" t="n"/>
      <c r="E6" s="73" t="n"/>
      <c r="F6" s="73" t="n"/>
      <c r="G6" s="73" t="n"/>
    </row>
    <row r="7">
      <c r="A7" s="54" t="inlineStr">
        <is>
          <t>Conversion</t>
        </is>
      </c>
      <c r="B7" s="48" t="inlineStr">
        <is>
          <t>SB/ChettinadChicken/Video/Brand kws-Pharse</t>
        </is>
      </c>
      <c r="C7" s="50" t="inlineStr">
        <is>
          <t>Video - Brand Pharse</t>
        </is>
      </c>
      <c r="D7" s="50" t="inlineStr">
        <is>
          <t>B0G1YXWM2P</t>
        </is>
      </c>
      <c r="E7" s="50" t="inlineStr">
        <is>
          <t>Video</t>
        </is>
      </c>
      <c r="F7" s="47" t="inlineStr">
        <is>
          <t>curry it
curryit</t>
        </is>
      </c>
      <c r="G7" s="52" t="inlineStr">
        <is>
          <t>Negate in Exact
curry it
curryit</t>
        </is>
      </c>
    </row>
    <row r="8">
      <c r="A8" s="71" t="n"/>
      <c r="B8" s="72" t="n"/>
      <c r="C8" s="71" t="n"/>
      <c r="D8" s="71" t="n"/>
      <c r="E8" s="71" t="n"/>
      <c r="F8" s="71" t="n"/>
      <c r="G8" s="71" t="n"/>
    </row>
    <row r="9">
      <c r="A9" s="71" t="n"/>
      <c r="B9" s="72" t="n"/>
      <c r="C9" s="71" t="n"/>
      <c r="D9" s="71" t="n"/>
      <c r="E9" s="71" t="n"/>
      <c r="F9" s="71" t="n"/>
      <c r="G9" s="71" t="n"/>
    </row>
    <row r="10">
      <c r="A10" s="71" t="n"/>
      <c r="B10" s="72" t="n"/>
      <c r="C10" s="71" t="n"/>
      <c r="D10" s="71" t="n"/>
      <c r="E10" s="71" t="n"/>
      <c r="F10" s="71" t="n"/>
      <c r="G10" s="71" t="n"/>
    </row>
    <row r="11">
      <c r="A11" s="73" t="n"/>
      <c r="B11" s="74" t="n"/>
      <c r="C11" s="73" t="n"/>
      <c r="D11" s="73" t="n"/>
      <c r="E11" s="73" t="n"/>
      <c r="F11" s="73" t="n"/>
      <c r="G11" s="73" t="n"/>
    </row>
    <row r="12">
      <c r="A12" s="54" t="inlineStr">
        <is>
          <t>Conversion</t>
        </is>
      </c>
      <c r="B12" s="48" t="inlineStr">
        <is>
          <t>SB/ChettinadChicken/Video/Generic Chettinad kws-Exact</t>
        </is>
      </c>
      <c r="C12" s="50" t="inlineStr">
        <is>
          <t>Video - Chettinad Exact</t>
        </is>
      </c>
      <c r="D12" s="50" t="inlineStr">
        <is>
          <t xml:space="preserve"> B0G1YXWM2P</t>
        </is>
      </c>
      <c r="E12" s="50" t="inlineStr">
        <is>
          <t>Video</t>
        </is>
      </c>
      <c r="F12" s="47"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2" s="46" t="inlineStr">
        <is>
          <t>N/A</t>
        </is>
      </c>
    </row>
    <row r="13">
      <c r="A13" s="71" t="n"/>
      <c r="B13" s="72" t="n"/>
      <c r="C13" s="71" t="n"/>
      <c r="D13" s="71" t="n"/>
      <c r="E13" s="71" t="n"/>
      <c r="F13" s="71" t="n"/>
      <c r="G13" s="71" t="n"/>
    </row>
    <row r="14">
      <c r="A14" s="71" t="n"/>
      <c r="B14" s="72" t="n"/>
      <c r="C14" s="71" t="n"/>
      <c r="D14" s="71" t="n"/>
      <c r="E14" s="71" t="n"/>
      <c r="F14" s="71" t="n"/>
      <c r="G14" s="71" t="n"/>
    </row>
    <row r="15">
      <c r="A15" s="71" t="n"/>
      <c r="B15" s="72" t="n"/>
      <c r="C15" s="71" t="n"/>
      <c r="D15" s="71" t="n"/>
      <c r="E15" s="71" t="n"/>
      <c r="F15" s="71" t="n"/>
      <c r="G15" s="71" t="n"/>
    </row>
    <row r="16">
      <c r="A16" s="71" t="n"/>
      <c r="B16" s="72" t="n"/>
      <c r="C16" s="71" t="n"/>
      <c r="D16" s="71" t="n"/>
      <c r="E16" s="71" t="n"/>
      <c r="F16" s="71" t="n"/>
      <c r="G16" s="71" t="n"/>
    </row>
    <row r="17">
      <c r="A17" s="71" t="n"/>
      <c r="B17" s="72" t="n"/>
      <c r="C17" s="71" t="n"/>
      <c r="D17" s="71" t="n"/>
      <c r="E17" s="71" t="n"/>
      <c r="F17" s="71" t="n"/>
      <c r="G17" s="71" t="n"/>
    </row>
    <row r="18" ht="217.8" customHeight="1">
      <c r="A18" s="73" t="n"/>
      <c r="B18" s="74" t="n"/>
      <c r="C18" s="73" t="n"/>
      <c r="D18" s="73" t="n"/>
      <c r="E18" s="73" t="n"/>
      <c r="F18" s="73" t="n"/>
      <c r="G18" s="73" t="n"/>
    </row>
    <row r="19">
      <c r="A19" s="54" t="inlineStr">
        <is>
          <t>Conversion/ Awarenss</t>
        </is>
      </c>
      <c r="B19" s="48" t="inlineStr">
        <is>
          <t>SB/ChettinadChicken/Video/Generic Chettinad kws-Pharse</t>
        </is>
      </c>
      <c r="C19" s="50" t="inlineStr">
        <is>
          <t>Video - Chettinad Pharse</t>
        </is>
      </c>
      <c r="D19" s="50" t="inlineStr">
        <is>
          <t xml:space="preserve"> B0G1YXWM2P</t>
        </is>
      </c>
      <c r="E19" s="50" t="inlineStr">
        <is>
          <t>Video</t>
        </is>
      </c>
      <c r="F19" s="47"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9" s="52" t="inlineStr">
        <is>
          <t>Negate in Exact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0">
      <c r="A20" s="71" t="n"/>
      <c r="B20" s="72" t="n"/>
      <c r="C20" s="71" t="n"/>
      <c r="D20" s="71" t="n"/>
      <c r="E20" s="71" t="n"/>
      <c r="F20" s="71" t="n"/>
      <c r="G20" s="71" t="n"/>
    </row>
    <row r="21">
      <c r="A21" s="71" t="n"/>
      <c r="B21" s="72" t="n"/>
      <c r="C21" s="71" t="n"/>
      <c r="D21" s="71" t="n"/>
      <c r="E21" s="71" t="n"/>
      <c r="F21" s="71" t="n"/>
      <c r="G21" s="71" t="n"/>
    </row>
    <row r="22">
      <c r="A22" s="71" t="n"/>
      <c r="B22" s="72" t="n"/>
      <c r="C22" s="71" t="n"/>
      <c r="D22" s="71" t="n"/>
      <c r="E22" s="71" t="n"/>
      <c r="F22" s="71" t="n"/>
      <c r="G22" s="71" t="n"/>
    </row>
    <row r="23">
      <c r="A23" s="71" t="n"/>
      <c r="B23" s="72" t="n"/>
      <c r="C23" s="71" t="n"/>
      <c r="D23" s="71" t="n"/>
      <c r="E23" s="71" t="n"/>
      <c r="F23" s="71" t="n"/>
      <c r="G23" s="71" t="n"/>
    </row>
    <row r="24">
      <c r="A24" s="71" t="n"/>
      <c r="B24" s="72" t="n"/>
      <c r="C24" s="71" t="n"/>
      <c r="D24" s="71" t="n"/>
      <c r="E24" s="71" t="n"/>
      <c r="F24" s="71" t="n"/>
      <c r="G24" s="71" t="n"/>
    </row>
    <row r="25">
      <c r="A25" s="71" t="n"/>
      <c r="B25" s="72" t="n"/>
      <c r="C25" s="71" t="n"/>
      <c r="D25" s="71" t="n"/>
      <c r="E25" s="71" t="n"/>
      <c r="F25" s="71" t="n"/>
      <c r="G25" s="71" t="n"/>
    </row>
    <row r="26" ht="182.4" customHeight="1">
      <c r="A26" s="73" t="n"/>
      <c r="B26" s="74" t="n"/>
      <c r="C26" s="73" t="n"/>
      <c r="D26" s="73" t="n"/>
      <c r="E26" s="73" t="n"/>
      <c r="F26" s="73" t="n"/>
      <c r="G26" s="73" t="n"/>
    </row>
    <row r="27">
      <c r="A27" s="54" t="inlineStr">
        <is>
          <t>Consideration/ Awareness</t>
        </is>
      </c>
      <c r="B27" s="48" t="inlineStr">
        <is>
          <t>SB/ChettinadChicken/Video/Comp Chettinad kws-Exact</t>
        </is>
      </c>
      <c r="C27" s="50" t="inlineStr">
        <is>
          <t>Video - Comp Chettinad Exact</t>
        </is>
      </c>
      <c r="D27" s="50" t="inlineStr">
        <is>
          <t xml:space="preserve"> B0G1YXWM2P</t>
        </is>
      </c>
      <c r="E27" s="50" t="inlineStr">
        <is>
          <t>Video</t>
        </is>
      </c>
      <c r="F27" s="47"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7" s="46" t="inlineStr">
        <is>
          <t>N/A</t>
        </is>
      </c>
    </row>
    <row r="28">
      <c r="A28" s="71" t="n"/>
      <c r="B28" s="72" t="n"/>
      <c r="C28" s="71" t="n"/>
      <c r="D28" s="71" t="n"/>
      <c r="E28" s="71" t="n"/>
      <c r="F28" s="71" t="n"/>
      <c r="G28" s="71" t="n"/>
    </row>
    <row r="29">
      <c r="A29" s="71" t="n"/>
      <c r="B29" s="72" t="n"/>
      <c r="C29" s="71" t="n"/>
      <c r="D29" s="71" t="n"/>
      <c r="E29" s="71" t="n"/>
      <c r="F29" s="71" t="n"/>
      <c r="G29" s="71" t="n"/>
    </row>
    <row r="30">
      <c r="A30" s="71" t="n"/>
      <c r="B30" s="72" t="n"/>
      <c r="C30" s="71" t="n"/>
      <c r="D30" s="71" t="n"/>
      <c r="E30" s="71" t="n"/>
      <c r="F30" s="71" t="n"/>
      <c r="G30" s="71" t="n"/>
    </row>
    <row r="31">
      <c r="A31" s="71" t="n"/>
      <c r="B31" s="72" t="n"/>
      <c r="C31" s="71" t="n"/>
      <c r="D31" s="71" t="n"/>
      <c r="E31" s="71" t="n"/>
      <c r="F31" s="71" t="n"/>
      <c r="G31" s="71" t="n"/>
    </row>
    <row r="32">
      <c r="A32" s="71" t="n"/>
      <c r="B32" s="72" t="n"/>
      <c r="C32" s="71" t="n"/>
      <c r="D32" s="71" t="n"/>
      <c r="E32" s="71" t="n"/>
      <c r="F32" s="71" t="n"/>
      <c r="G32" s="71" t="n"/>
    </row>
    <row r="33">
      <c r="A33" s="71" t="n"/>
      <c r="B33" s="72" t="n"/>
      <c r="C33" s="71" t="n"/>
      <c r="D33" s="71" t="n"/>
      <c r="E33" s="71" t="n"/>
      <c r="F33" s="71" t="n"/>
      <c r="G33" s="71" t="n"/>
    </row>
    <row r="34">
      <c r="A34" s="71" t="n"/>
      <c r="B34" s="72" t="n"/>
      <c r="C34" s="71" t="n"/>
      <c r="D34" s="71" t="n"/>
      <c r="E34" s="71" t="n"/>
      <c r="F34" s="71" t="n"/>
      <c r="G34" s="71" t="n"/>
    </row>
    <row r="35">
      <c r="A35" s="71" t="n"/>
      <c r="B35" s="72" t="n"/>
      <c r="C35" s="71" t="n"/>
      <c r="D35" s="71" t="n"/>
      <c r="E35" s="71" t="n"/>
      <c r="F35" s="71" t="n"/>
      <c r="G35" s="71" t="n"/>
    </row>
    <row r="36">
      <c r="A36" s="71" t="n"/>
      <c r="B36" s="72" t="n"/>
      <c r="C36" s="71" t="n"/>
      <c r="D36" s="71" t="n"/>
      <c r="E36" s="71" t="n"/>
      <c r="F36" s="71" t="n"/>
      <c r="G36" s="71" t="n"/>
    </row>
    <row r="37">
      <c r="A37" s="73" t="n"/>
      <c r="B37" s="74" t="n"/>
      <c r="C37" s="73" t="n"/>
      <c r="D37" s="73" t="n"/>
      <c r="E37" s="73" t="n"/>
      <c r="F37" s="73" t="n"/>
      <c r="G37" s="73" t="n"/>
    </row>
    <row r="38">
      <c r="A38" s="54" t="inlineStr">
        <is>
          <t>Consideration/ Awareness</t>
        </is>
      </c>
      <c r="B38" s="48" t="inlineStr">
        <is>
          <t>SB/ChettinadChicken/Video/Comp Chettinad kws-Pharse</t>
        </is>
      </c>
      <c r="C38" s="50" t="inlineStr">
        <is>
          <t>Video - Comp Chettinad Pharse</t>
        </is>
      </c>
      <c r="D38" s="50" t="inlineStr">
        <is>
          <t xml:space="preserve"> B0G1YXWM2P</t>
        </is>
      </c>
      <c r="E38" s="50" t="inlineStr">
        <is>
          <t>Video</t>
        </is>
      </c>
      <c r="F38" s="47"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38" s="52" t="inlineStr">
        <is>
          <t>Negate in Exact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39">
      <c r="A39" s="71" t="n"/>
      <c r="B39" s="72" t="n"/>
      <c r="C39" s="71" t="n"/>
      <c r="D39" s="71" t="n"/>
      <c r="E39" s="71" t="n"/>
      <c r="F39" s="71" t="n"/>
      <c r="G39" s="71" t="n"/>
    </row>
    <row r="40">
      <c r="A40" s="71" t="n"/>
      <c r="B40" s="72" t="n"/>
      <c r="C40" s="71" t="n"/>
      <c r="D40" s="71" t="n"/>
      <c r="E40" s="71" t="n"/>
      <c r="F40" s="71" t="n"/>
      <c r="G40" s="71" t="n"/>
    </row>
    <row r="41">
      <c r="A41" s="71" t="n"/>
      <c r="B41" s="72" t="n"/>
      <c r="C41" s="71" t="n"/>
      <c r="D41" s="71" t="n"/>
      <c r="E41" s="71" t="n"/>
      <c r="F41" s="71" t="n"/>
      <c r="G41" s="71" t="n"/>
    </row>
    <row r="42">
      <c r="A42" s="71" t="n"/>
      <c r="B42" s="72" t="n"/>
      <c r="C42" s="71" t="n"/>
      <c r="D42" s="71" t="n"/>
      <c r="E42" s="71" t="n"/>
      <c r="F42" s="71" t="n"/>
      <c r="G42" s="71" t="n"/>
    </row>
    <row r="43">
      <c r="A43" s="71" t="n"/>
      <c r="B43" s="72" t="n"/>
      <c r="C43" s="71" t="n"/>
      <c r="D43" s="71" t="n"/>
      <c r="E43" s="71" t="n"/>
      <c r="F43" s="71" t="n"/>
      <c r="G43" s="71" t="n"/>
    </row>
    <row r="44">
      <c r="A44" s="71" t="n"/>
      <c r="B44" s="72" t="n"/>
      <c r="C44" s="71" t="n"/>
      <c r="D44" s="71" t="n"/>
      <c r="E44" s="71" t="n"/>
      <c r="F44" s="71" t="n"/>
      <c r="G44" s="71" t="n"/>
    </row>
    <row r="45">
      <c r="A45" s="71" t="n"/>
      <c r="B45" s="72" t="n"/>
      <c r="C45" s="71" t="n"/>
      <c r="D45" s="71" t="n"/>
      <c r="E45" s="71" t="n"/>
      <c r="F45" s="71" t="n"/>
      <c r="G45" s="71" t="n"/>
    </row>
    <row r="46">
      <c r="A46" s="71" t="n"/>
      <c r="B46" s="72" t="n"/>
      <c r="C46" s="71" t="n"/>
      <c r="D46" s="71" t="n"/>
      <c r="E46" s="71" t="n"/>
      <c r="F46" s="71" t="n"/>
      <c r="G46" s="71" t="n"/>
    </row>
    <row r="47">
      <c r="A47" s="71" t="n"/>
      <c r="B47" s="72" t="n"/>
      <c r="C47" s="71" t="n"/>
      <c r="D47" s="71" t="n"/>
      <c r="E47" s="71" t="n"/>
      <c r="F47" s="71" t="n"/>
      <c r="G47" s="71" t="n"/>
    </row>
    <row r="48">
      <c r="A48" s="71" t="n"/>
      <c r="B48" s="72" t="n"/>
      <c r="C48" s="71" t="n"/>
      <c r="D48" s="71" t="n"/>
      <c r="E48" s="71" t="n"/>
      <c r="F48" s="71" t="n"/>
      <c r="G48" s="71" t="n"/>
    </row>
    <row r="49">
      <c r="A49" s="73" t="n"/>
      <c r="B49" s="74" t="n"/>
      <c r="C49" s="73" t="n"/>
      <c r="D49" s="73" t="n"/>
      <c r="E49" s="73" t="n"/>
      <c r="F49" s="73" t="n"/>
      <c r="G49" s="73" t="n"/>
    </row>
  </sheetData>
  <mergeCells count="43">
    <mergeCell ref="D27:D37"/>
    <mergeCell ref="A12:A18"/>
    <mergeCell ref="C12:C18"/>
    <mergeCell ref="A38:A49"/>
    <mergeCell ref="B3:B6"/>
    <mergeCell ref="A19:A26"/>
    <mergeCell ref="C38:C49"/>
    <mergeCell ref="D12:D18"/>
    <mergeCell ref="D19:D26"/>
    <mergeCell ref="F19:F26"/>
    <mergeCell ref="E7:E11"/>
    <mergeCell ref="A27:A37"/>
    <mergeCell ref="C27:C37"/>
    <mergeCell ref="E27:E37"/>
    <mergeCell ref="F3:F6"/>
    <mergeCell ref="C7:C11"/>
    <mergeCell ref="G3:G6"/>
    <mergeCell ref="D38:D49"/>
    <mergeCell ref="A3:A6"/>
    <mergeCell ref="E19:E26"/>
    <mergeCell ref="B7:B11"/>
    <mergeCell ref="G19:G26"/>
    <mergeCell ref="F27:F37"/>
    <mergeCell ref="E12:E18"/>
    <mergeCell ref="G12:G18"/>
    <mergeCell ref="D3:D6"/>
    <mergeCell ref="F7:F11"/>
    <mergeCell ref="E38:E49"/>
    <mergeCell ref="B12:B18"/>
    <mergeCell ref="B19:B26"/>
    <mergeCell ref="G38:G49"/>
    <mergeCell ref="A7:A11"/>
    <mergeCell ref="G7:G11"/>
    <mergeCell ref="G27:G37"/>
    <mergeCell ref="B1:H1"/>
    <mergeCell ref="F12:F18"/>
    <mergeCell ref="C3:C6"/>
    <mergeCell ref="B38:B49"/>
    <mergeCell ref="E3:E6"/>
    <mergeCell ref="F38:F49"/>
    <mergeCell ref="D7:D11"/>
    <mergeCell ref="C19:C26"/>
    <mergeCell ref="B27:B3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13"/>
  <sheetViews>
    <sheetView zoomScale="49" workbookViewId="0">
      <selection activeCell="A2" sqref="A2"/>
    </sheetView>
  </sheetViews>
  <sheetFormatPr baseColWidth="8" defaultRowHeight="14.4"/>
  <cols>
    <col width="29.21875" customWidth="1" style="45" min="1" max="1"/>
    <col width="54.44140625" customWidth="1" style="45" min="2" max="2"/>
    <col width="94.33203125" customWidth="1" style="45" min="3" max="3"/>
    <col width="35" customWidth="1" style="45" min="4" max="4"/>
    <col width="53.77734375" customWidth="1" style="45" min="5" max="5"/>
    <col width="49.44140625" customWidth="1" style="45" min="6" max="6"/>
    <col width="8.88671875" customWidth="1" style="45" min="7" max="16384"/>
  </cols>
  <sheetData>
    <row r="1">
      <c r="B1" s="45" t="inlineStr">
        <is>
          <t>SPONSORED DISPLAY (SD) – Contextual Chettinad Chicken Curry Paste</t>
        </is>
      </c>
    </row>
    <row r="2" ht="13.2" customFormat="1" customHeight="1" s="20">
      <c r="A2" s="20" t="inlineStr">
        <is>
          <t xml:space="preserve"> </t>
        </is>
      </c>
      <c r="B2" s="20" t="inlineStr">
        <is>
          <t>Campaign Name</t>
        </is>
      </c>
      <c r="C2" s="20" t="inlineStr">
        <is>
          <t>Ad grp Name</t>
        </is>
      </c>
      <c r="D2" s="20" t="inlineStr">
        <is>
          <t>Ad Format</t>
        </is>
      </c>
      <c r="E2" s="20" t="inlineStr">
        <is>
          <t>Advertised Product</t>
        </is>
      </c>
      <c r="F2" s="20" t="inlineStr">
        <is>
          <t>Targeting</t>
        </is>
      </c>
      <c r="G2" s="21" t="n"/>
    </row>
    <row r="3" ht="286.8" customHeight="1">
      <c r="A3" s="18" t="inlineStr">
        <is>
          <t>Consideration</t>
        </is>
      </c>
      <c r="B3" s="22" t="inlineStr">
        <is>
          <t>SD/Chettinad Chicken/Contextual/IP</t>
        </is>
      </c>
      <c r="C3" s="47" t="inlineStr">
        <is>
          <t>Chettinad Paste/Contextual/IP-Comp Curry Paste</t>
        </is>
      </c>
      <c r="D3" s="47" t="inlineStr">
        <is>
          <t>Video</t>
        </is>
      </c>
      <c r="E3" s="47" t="inlineStr">
        <is>
          <t>B0G1YXWM2P</t>
        </is>
      </c>
      <c r="F3" s="47" t="inlineStr">
        <is>
          <t>B079H3DFP7
B0FLP9NYR1
B07BH4B384
B08MFLHMJC
B0CY8KKGGP
B09BD5VW64
B09BD5BNJ7
B0917NY7X6
B09BD583S6
B08H284SNC
B0777JV82Z
B0BV76DCY6
B0DPJ3P467
B0C53VBXVM
B0BV7783X7
B0C58S9P1K</t>
        </is>
      </c>
    </row>
    <row r="4">
      <c r="A4" s="18" t="n"/>
      <c r="B4" s="47" t="n"/>
      <c r="C4" s="47" t="n"/>
      <c r="D4" s="47" t="n"/>
      <c r="E4" s="47" t="n"/>
      <c r="F4" s="47" t="n"/>
    </row>
    <row r="5" ht="43.2" customHeight="1">
      <c r="A5" s="18" t="inlineStr">
        <is>
          <t>Consideration</t>
        </is>
      </c>
      <c r="B5" s="22" t="inlineStr">
        <is>
          <t>SD/Contextual/Contextual/CT</t>
        </is>
      </c>
      <c r="C5" s="47" t="inlineStr">
        <is>
          <t xml:space="preserve">Chettinad Paste/Contextual/CT-Pastes </t>
        </is>
      </c>
      <c r="D5" s="47" t="inlineStr">
        <is>
          <t>Video</t>
        </is>
      </c>
      <c r="E5" s="47" t="inlineStr">
        <is>
          <t>B0G1YXWM2P</t>
        </is>
      </c>
      <c r="F5" s="47" t="inlineStr">
        <is>
          <t>Cooking &amp; Baking Supplies›Spices &amp; Masalas›Powdered Spices, Seasonings &amp; Masalas›Mixed Spices &amp; Seasonings›Ready Masalas &amp; Curry Powder</t>
        </is>
      </c>
    </row>
    <row r="6" ht="17.4" customHeight="1">
      <c r="A6" s="18" t="n"/>
      <c r="B6" s="47" t="n"/>
      <c r="C6" s="18" t="n"/>
      <c r="D6" s="18" t="n"/>
      <c r="E6" s="18" t="n"/>
      <c r="F6" s="47" t="n"/>
    </row>
    <row r="7" ht="57.6" customHeight="1">
      <c r="A7" s="18" t="inlineStr">
        <is>
          <t>Conversion</t>
        </is>
      </c>
      <c r="B7" s="22" t="inlineStr">
        <is>
          <t>SD/Contextual/Remarketing/Views</t>
        </is>
      </c>
      <c r="C7" s="47" t="inlineStr">
        <is>
          <t>Chettinad Paste/Remarketing/Views</t>
        </is>
      </c>
      <c r="D7" s="47" t="inlineStr">
        <is>
          <t>Video</t>
        </is>
      </c>
      <c r="E7" s="47" t="inlineStr">
        <is>
          <t>B0G1YXWM2P</t>
        </is>
      </c>
      <c r="F7" s="47" t="inlineStr">
        <is>
          <t>Viewed&gt;Advertised&gt;Product,
Viewed&gt;Similar Product,
Viewed&gt;Category
Lookback Period&gt;7Days</t>
        </is>
      </c>
    </row>
    <row r="8">
      <c r="A8" s="18" t="n"/>
      <c r="B8" s="47" t="n"/>
      <c r="C8" s="47" t="n"/>
      <c r="D8" s="47" t="n"/>
      <c r="E8" s="47" t="n"/>
      <c r="F8" s="47" t="n"/>
    </row>
    <row r="9" ht="57.6" customHeight="1">
      <c r="A9" s="18" t="inlineStr">
        <is>
          <t>Conversion</t>
        </is>
      </c>
      <c r="B9" s="22" t="inlineStr">
        <is>
          <t>SD/Contextual/Remarketing/Purchases</t>
        </is>
      </c>
      <c r="C9" s="47" t="inlineStr">
        <is>
          <t>Chettinad Paste/Remarketing/Purchase</t>
        </is>
      </c>
      <c r="D9" s="47" t="inlineStr">
        <is>
          <t>Video</t>
        </is>
      </c>
      <c r="E9" s="47" t="inlineStr">
        <is>
          <t>B0G1YXWM2P</t>
        </is>
      </c>
      <c r="F9" s="47" t="inlineStr">
        <is>
          <t>Purchased&gt;Advertised&gt;Product,
Purchased&gt;Similar Product,
Purchased&gt;Category
Lookback Period&gt;30Days</t>
        </is>
      </c>
    </row>
    <row r="10">
      <c r="A10" s="18" t="n"/>
      <c r="B10" s="47" t="n"/>
      <c r="C10" s="47" t="n"/>
      <c r="D10" s="18" t="n"/>
      <c r="E10" s="18" t="n"/>
      <c r="F10" s="18" t="n"/>
    </row>
    <row r="11" ht="87" customHeight="1">
      <c r="A11" s="18" t="inlineStr">
        <is>
          <t>Conversion</t>
        </is>
      </c>
      <c r="B11" s="22" t="inlineStr">
        <is>
          <t>SD/Contextual/Inmarketing</t>
        </is>
      </c>
      <c r="C11" s="47" t="inlineStr">
        <is>
          <t>Chettinad Paste/Inmarketing</t>
        </is>
      </c>
      <c r="D11" s="47" t="inlineStr">
        <is>
          <t>Video</t>
        </is>
      </c>
      <c r="E11" s="47" t="inlineStr">
        <is>
          <t>B0G1YXWM2P</t>
        </is>
      </c>
      <c r="F11" s="47" t="inlineStr">
        <is>
          <t>In-market: Spices &amp; Masalas
In-market: Cooking Pastes &amp; Sauces
In-market: Ready to Cook Foods</t>
        </is>
      </c>
    </row>
    <row r="12">
      <c r="A12" s="18" t="n"/>
      <c r="B12" s="47" t="n"/>
      <c r="C12" s="18" t="n"/>
      <c r="D12" s="18" t="n"/>
      <c r="E12" s="18" t="n"/>
      <c r="F12" s="18" t="n"/>
    </row>
    <row r="13" ht="57.6" customHeight="1">
      <c r="A13" s="18" t="inlineStr">
        <is>
          <t>Conversion</t>
        </is>
      </c>
      <c r="B13" s="22" t="inlineStr">
        <is>
          <t>SD/Chettinad Chicken/Contextual/IP</t>
        </is>
      </c>
      <c r="C13" s="47" t="inlineStr">
        <is>
          <t>Chettinad Paste/Contextual/IP-Brand Curry Paste</t>
        </is>
      </c>
      <c r="D13" s="47" t="inlineStr">
        <is>
          <t>Video</t>
        </is>
      </c>
      <c r="E13" s="47" t="inlineStr">
        <is>
          <t>B0G1YXWM2P</t>
        </is>
      </c>
      <c r="F13" s="47" t="inlineStr">
        <is>
          <t>B0G1YZ3K4T
B0G1Z87RV9
B0CL9D1PHY
B0G1YZ5K91</t>
        </is>
      </c>
    </row>
  </sheetData>
  <mergeCells count="1">
    <mergeCell ref="B1:L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3:O17"/>
  <sheetViews>
    <sheetView workbookViewId="0">
      <selection activeCell="C11" sqref="C11"/>
    </sheetView>
  </sheetViews>
  <sheetFormatPr baseColWidth="8" defaultRowHeight="14.4"/>
  <cols>
    <col width="14.33203125" customWidth="1" min="2" max="2"/>
    <col width="9.77734375" bestFit="1" customWidth="1" min="3" max="3"/>
    <col width="20.5546875" customWidth="1" min="4" max="4"/>
    <col width="12.77734375" bestFit="1" customWidth="1" min="9" max="9"/>
    <col width="11.5546875" bestFit="1" customWidth="1" min="10" max="10"/>
    <col width="11.5546875" bestFit="1" customWidth="1" min="12" max="12"/>
  </cols>
  <sheetData>
    <row r="3" ht="22.8" customHeight="1">
      <c r="B3" s="43" t="inlineStr">
        <is>
          <t>Media Plan</t>
        </is>
      </c>
      <c r="C3" s="75" t="n"/>
      <c r="D3" s="75" t="n"/>
      <c r="E3" s="75" t="n"/>
      <c r="F3" s="75" t="n"/>
      <c r="G3" s="75" t="n"/>
      <c r="H3" s="75" t="n"/>
      <c r="I3" s="75" t="n"/>
      <c r="J3" s="75" t="n"/>
      <c r="K3" s="75" t="n"/>
      <c r="L3" s="75" t="n"/>
      <c r="M3" s="75" t="n"/>
      <c r="N3" s="75" t="n"/>
      <c r="O3" s="76" t="n"/>
    </row>
    <row r="4">
      <c r="B4" s="26" t="inlineStr">
        <is>
          <t>Duration</t>
        </is>
      </c>
      <c r="C4" s="26" t="inlineStr">
        <is>
          <t>Spend</t>
        </is>
      </c>
      <c r="D4" s="26" t="inlineStr">
        <is>
          <t>Impressions</t>
        </is>
      </c>
      <c r="E4" s="26" t="inlineStr">
        <is>
          <t>CPM</t>
        </is>
      </c>
      <c r="F4" s="26" t="inlineStr">
        <is>
          <t>CTR</t>
        </is>
      </c>
      <c r="G4" s="26" t="inlineStr">
        <is>
          <t>Clicks</t>
        </is>
      </c>
      <c r="H4" s="26" t="inlineStr">
        <is>
          <t>CPC</t>
        </is>
      </c>
      <c r="I4" s="26" t="inlineStr">
        <is>
          <t>Sales</t>
        </is>
      </c>
      <c r="J4" s="26" t="inlineStr">
        <is>
          <t>Orders</t>
        </is>
      </c>
      <c r="K4" s="26" t="inlineStr">
        <is>
          <t>CVR</t>
        </is>
      </c>
      <c r="L4" s="26" t="inlineStr">
        <is>
          <t>CPA</t>
        </is>
      </c>
      <c r="M4" s="26" t="inlineStr">
        <is>
          <t>AOV</t>
        </is>
      </c>
      <c r="N4" s="26" t="inlineStr">
        <is>
          <t>ACOS</t>
        </is>
      </c>
      <c r="O4" s="26" t="inlineStr">
        <is>
          <t>Roas</t>
        </is>
      </c>
    </row>
    <row r="5">
      <c r="B5" s="27" t="inlineStr">
        <is>
          <t>Month 1</t>
        </is>
      </c>
      <c r="C5" s="77">
        <f>I5/O5</f>
        <v/>
      </c>
      <c r="D5" s="28">
        <f>G5/F5</f>
        <v/>
      </c>
      <c r="E5" s="41">
        <f>C5/D5*1000</f>
        <v/>
      </c>
      <c r="F5" s="78" t="n">
        <v>0.004</v>
      </c>
      <c r="G5" s="28">
        <f>C5/H5</f>
        <v/>
      </c>
      <c r="H5" s="79" t="n">
        <v>12</v>
      </c>
      <c r="I5" s="80" t="n">
        <v>300000</v>
      </c>
      <c r="J5" s="28">
        <f>I5/M5</f>
        <v/>
      </c>
      <c r="K5" s="38" t="n">
        <v>0.08</v>
      </c>
      <c r="L5" s="28">
        <f>C5/J5</f>
        <v/>
      </c>
      <c r="M5" s="81" t="n">
        <v>450</v>
      </c>
      <c r="N5" s="29">
        <f>C5/I5</f>
        <v/>
      </c>
      <c r="O5" s="30" t="n">
        <v>3</v>
      </c>
    </row>
    <row r="6">
      <c r="B6" s="27" t="inlineStr">
        <is>
          <t>Month 2</t>
        </is>
      </c>
      <c r="C6" s="77">
        <f>I6/O6</f>
        <v/>
      </c>
      <c r="D6" s="28">
        <f>G6/F6</f>
        <v/>
      </c>
      <c r="E6" s="41">
        <f>C6/D6*1000</f>
        <v/>
      </c>
      <c r="F6" s="78" t="n">
        <v>0.004</v>
      </c>
      <c r="G6" s="28">
        <f>C6/H6</f>
        <v/>
      </c>
      <c r="H6" s="79" t="n">
        <v>12</v>
      </c>
      <c r="I6" s="80" t="n">
        <v>300000</v>
      </c>
      <c r="J6" s="28">
        <f>I6/M6</f>
        <v/>
      </c>
      <c r="K6" s="38" t="n">
        <v>0.08</v>
      </c>
      <c r="L6" s="28">
        <f>C6/J6</f>
        <v/>
      </c>
      <c r="M6" s="81" t="n">
        <v>450</v>
      </c>
      <c r="N6" s="29">
        <f>C6/I6</f>
        <v/>
      </c>
      <c r="O6" s="30" t="n">
        <v>3</v>
      </c>
    </row>
    <row r="7">
      <c r="B7" s="27" t="inlineStr">
        <is>
          <t>Month 3</t>
        </is>
      </c>
      <c r="C7" s="77">
        <f>I7/O7</f>
        <v/>
      </c>
      <c r="D7" s="28">
        <f>G7/F7</f>
        <v/>
      </c>
      <c r="E7" s="41">
        <f>C7/D7*1000</f>
        <v/>
      </c>
      <c r="F7" s="78" t="n">
        <v>0.004</v>
      </c>
      <c r="G7" s="28">
        <f>C7/H7</f>
        <v/>
      </c>
      <c r="H7" s="79" t="n">
        <v>12</v>
      </c>
      <c r="I7" s="80" t="n">
        <v>600000</v>
      </c>
      <c r="J7" s="28">
        <f>I7/M7</f>
        <v/>
      </c>
      <c r="K7" s="38" t="n">
        <v>0.08</v>
      </c>
      <c r="L7" s="28">
        <f>C7/J7</f>
        <v/>
      </c>
      <c r="M7" s="81" t="n">
        <v>450</v>
      </c>
      <c r="N7" s="29">
        <f>C7/I7</f>
        <v/>
      </c>
      <c r="O7" s="30" t="n">
        <v>3</v>
      </c>
    </row>
    <row r="8">
      <c r="B8" s="27" t="inlineStr">
        <is>
          <t>Month 4</t>
        </is>
      </c>
      <c r="C8" s="77">
        <f>I8/O8</f>
        <v/>
      </c>
      <c r="D8" s="28">
        <f>G8/F8</f>
        <v/>
      </c>
      <c r="E8" s="41">
        <f>C8/D8*1000</f>
        <v/>
      </c>
      <c r="F8" s="78" t="n">
        <v>0.004</v>
      </c>
      <c r="G8" s="28">
        <f>C8/H8</f>
        <v/>
      </c>
      <c r="H8" s="79" t="n">
        <v>12</v>
      </c>
      <c r="I8" s="80" t="n">
        <v>600000</v>
      </c>
      <c r="J8" s="28">
        <f>I8/M8</f>
        <v/>
      </c>
      <c r="K8" s="38" t="n">
        <v>0.08</v>
      </c>
      <c r="L8" s="28">
        <f>C8/J8</f>
        <v/>
      </c>
      <c r="M8" s="81" t="n">
        <v>450</v>
      </c>
      <c r="N8" s="29">
        <f>C8/I8</f>
        <v/>
      </c>
      <c r="O8" s="30" t="n">
        <v>3</v>
      </c>
    </row>
    <row r="9">
      <c r="B9" s="27" t="inlineStr">
        <is>
          <t>Month 5</t>
        </is>
      </c>
      <c r="C9" s="77">
        <f>I9/O9</f>
        <v/>
      </c>
      <c r="D9" s="28">
        <f>G9/F9</f>
        <v/>
      </c>
      <c r="E9" s="41">
        <f>C9/D9*1000</f>
        <v/>
      </c>
      <c r="F9" s="78" t="n">
        <v>0.004</v>
      </c>
      <c r="G9" s="28">
        <f>C9/H9</f>
        <v/>
      </c>
      <c r="H9" s="79" t="n">
        <v>12</v>
      </c>
      <c r="I9" s="80" t="n">
        <v>1000000</v>
      </c>
      <c r="J9" s="28">
        <f>I9/M9</f>
        <v/>
      </c>
      <c r="K9" s="38" t="n">
        <v>0.08</v>
      </c>
      <c r="L9" s="28">
        <f>C9/J9</f>
        <v/>
      </c>
      <c r="M9" s="81" t="n">
        <v>450</v>
      </c>
      <c r="N9" s="29">
        <f>C9/I9</f>
        <v/>
      </c>
      <c r="O9" s="30" t="n">
        <v>3</v>
      </c>
    </row>
    <row r="10">
      <c r="B10" s="27" t="inlineStr">
        <is>
          <t>Month 6</t>
        </is>
      </c>
      <c r="C10" s="77">
        <f>I10/O10</f>
        <v/>
      </c>
      <c r="D10" s="28">
        <f>G10/F10</f>
        <v/>
      </c>
      <c r="E10" s="41">
        <f>C10/D10*1000</f>
        <v/>
      </c>
      <c r="F10" s="78" t="n">
        <v>0.004</v>
      </c>
      <c r="G10" s="28">
        <f>C10/H10</f>
        <v/>
      </c>
      <c r="H10" s="79" t="n">
        <v>12</v>
      </c>
      <c r="I10" s="80" t="n">
        <v>1000000</v>
      </c>
      <c r="J10" s="28">
        <f>I10/M10</f>
        <v/>
      </c>
      <c r="K10" s="38" t="n">
        <v>0.08</v>
      </c>
      <c r="L10" s="28">
        <f>C10/J10</f>
        <v/>
      </c>
      <c r="M10" s="81" t="n">
        <v>450</v>
      </c>
      <c r="N10" s="29">
        <f>C10/I10</f>
        <v/>
      </c>
      <c r="O10" s="30" t="n">
        <v>3</v>
      </c>
    </row>
    <row r="11" ht="28.8" customHeight="1">
      <c r="B11" s="1" t="inlineStr">
        <is>
          <t>Total amount</t>
        </is>
      </c>
      <c r="C11" s="82">
        <f>SUM(C5:C10)</f>
        <v/>
      </c>
      <c r="D11" s="1" t="n"/>
      <c r="E11" s="1" t="n"/>
      <c r="F11" s="1" t="n"/>
      <c r="G11" s="1" t="n"/>
      <c r="H11" s="1" t="n"/>
      <c r="I11" s="1" t="n"/>
      <c r="J11" s="1" t="n"/>
      <c r="K11" s="1" t="n"/>
      <c r="L11" s="1" t="n"/>
      <c r="M11" s="1" t="n"/>
      <c r="N11" s="1" t="n"/>
      <c r="O11" s="1" t="n"/>
    </row>
    <row r="12" ht="18" customHeight="1">
      <c r="B12" s="31" t="n"/>
      <c r="C12" s="31" t="n"/>
      <c r="D12" s="31" t="n"/>
      <c r="E12" s="31" t="n"/>
      <c r="F12" s="31" t="n"/>
      <c r="G12" s="31" t="n"/>
      <c r="H12" s="31" t="n"/>
      <c r="I12" s="1" t="n"/>
      <c r="J12" s="1" t="n"/>
      <c r="K12" s="1" t="n"/>
      <c r="L12" s="1" t="n"/>
      <c r="M12" s="1" t="n"/>
      <c r="N12" s="1" t="n"/>
      <c r="O12" s="1" t="n"/>
    </row>
    <row r="13" ht="31.2" customHeight="1">
      <c r="B13" s="32" t="n"/>
      <c r="C13" s="33" t="inlineStr">
        <is>
          <t>Assumed</t>
        </is>
      </c>
      <c r="D13" s="44" t="inlineStr">
        <is>
          <t>Reason</t>
        </is>
      </c>
      <c r="E13" s="75" t="n"/>
      <c r="F13" s="75" t="n"/>
      <c r="G13" s="75" t="n"/>
      <c r="H13" s="75" t="n"/>
      <c r="I13" s="75" t="n"/>
      <c r="J13" s="76" t="n"/>
      <c r="K13" s="34" t="n"/>
      <c r="L13" s="1" t="n"/>
      <c r="M13" s="1" t="n"/>
      <c r="N13" s="1" t="n"/>
      <c r="O13" s="1" t="n"/>
    </row>
    <row r="14">
      <c r="B14" s="1" t="n"/>
      <c r="C14" s="34" t="inlineStr">
        <is>
          <t>ACOS</t>
        </is>
      </c>
      <c r="D14" s="42" t="inlineStr">
        <is>
          <t>Assumed the ACOS as per benchmark which is highest at the awareness stage and goes down gradually down the funnel.</t>
        </is>
      </c>
      <c r="E14" s="75" t="n"/>
      <c r="F14" s="75" t="n"/>
      <c r="G14" s="75" t="n"/>
      <c r="H14" s="75" t="n"/>
      <c r="I14" s="75" t="n"/>
      <c r="J14" s="75" t="n"/>
      <c r="K14" s="76" t="n"/>
      <c r="L14" s="1" t="n"/>
      <c r="M14" s="1" t="n"/>
      <c r="N14" s="1" t="n"/>
      <c r="O14" s="1" t="n"/>
    </row>
    <row r="15">
      <c r="B15" s="1" t="n"/>
      <c r="C15" s="34" t="inlineStr">
        <is>
          <t>CTR</t>
        </is>
      </c>
      <c r="D15" s="42" t="inlineStr">
        <is>
          <t>Assumed the CTR as per benchmark which is lowest at the awareness stage and goes up gradually down the funnel.</t>
        </is>
      </c>
      <c r="E15" s="75" t="n"/>
      <c r="F15" s="75" t="n"/>
      <c r="G15" s="75" t="n"/>
      <c r="H15" s="75" t="n"/>
      <c r="I15" s="75" t="n"/>
      <c r="J15" s="75" t="n"/>
      <c r="K15" s="76" t="n"/>
      <c r="L15" s="1" t="n"/>
      <c r="M15" s="1" t="n"/>
      <c r="N15" s="1" t="n"/>
      <c r="O15" s="1" t="n"/>
    </row>
    <row r="16">
      <c r="B16" s="1" t="n"/>
      <c r="C16" s="34" t="inlineStr">
        <is>
          <t>CPC</t>
        </is>
      </c>
      <c r="D16" s="42" t="inlineStr">
        <is>
          <t>Assumed the CPC as per benchmark which is highest at the awareness stage and goes down gradually down the funnel.</t>
        </is>
      </c>
      <c r="E16" s="75" t="n"/>
      <c r="F16" s="75" t="n"/>
      <c r="G16" s="75" t="n"/>
      <c r="H16" s="75" t="n"/>
      <c r="I16" s="75" t="n"/>
      <c r="J16" s="75" t="n"/>
      <c r="K16" s="76" t="n"/>
      <c r="L16" s="1" t="n"/>
      <c r="M16" s="1" t="n"/>
      <c r="N16" s="1" t="n"/>
      <c r="O16" s="1" t="n"/>
    </row>
    <row r="17">
      <c r="B17" s="1" t="n"/>
      <c r="C17" s="34" t="inlineStr">
        <is>
          <t>AOV</t>
        </is>
      </c>
      <c r="D17" s="42" t="inlineStr">
        <is>
          <t>Assumed the AOV as ₹450 = CURRYiT combo pack of 3 pastes (given in the CURRYiT deck).</t>
        </is>
      </c>
      <c r="E17" s="75" t="n"/>
      <c r="F17" s="75" t="n"/>
      <c r="G17" s="75" t="n"/>
      <c r="H17" s="75" t="n"/>
      <c r="I17" s="75" t="n"/>
      <c r="J17" s="75" t="n"/>
      <c r="K17" s="76" t="n"/>
      <c r="L17" s="1" t="n"/>
      <c r="M17" s="1" t="n"/>
      <c r="N17" s="1" t="n"/>
      <c r="O17" s="1" t="n"/>
    </row>
  </sheetData>
  <mergeCells count="6">
    <mergeCell ref="D17:K17"/>
    <mergeCell ref="D15:K15"/>
    <mergeCell ref="D16:K16"/>
    <mergeCell ref="B3:O3"/>
    <mergeCell ref="D14:K14"/>
    <mergeCell ref="D13:J13"/>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P4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7" customWidth="1" min="4" max="4"/>
    <col width="7" customWidth="1" min="5" max="5"/>
    <col width="9" customWidth="1" min="6" max="6"/>
    <col width="7" customWidth="1" min="7" max="7"/>
    <col width="8" customWidth="1" min="8" max="8"/>
    <col width="7" customWidth="1" min="9" max="9"/>
    <col width="7" customWidth="1" min="10" max="10"/>
    <col width="8" customWidth="1" min="11" max="11"/>
    <col width="12" customWidth="1" min="12" max="12"/>
    <col width="8" customWidth="1" min="13" max="13"/>
    <col width="7" customWidth="1" min="14" max="14"/>
    <col width="10" customWidth="1" min="15" max="15"/>
    <col width="40" customWidth="1" min="16" max="16"/>
  </cols>
  <sheetData>
    <row r="1">
      <c r="A1" s="83" t="inlineStr">
        <is>
          <t>Month 1 &amp; 2 – Launch and learn</t>
        </is>
      </c>
    </row>
    <row r="2">
      <c r="A2" s="84" t="inlineStr">
        <is>
          <t>Phase budget (2 months, from Media Planning)</t>
        </is>
      </c>
      <c r="B2" s="85">
        <f>'Media Planning'!C5+'Media Planning'!C6</f>
        <v/>
      </c>
      <c r="C2" s="86" t="inlineStr">
        <is>
          <t>Yellow = input (share / benchmark). Everything else is a formula: Clicks = Spend ÷ CPC, Impressions = Clicks ÷ CTR, Orders = Clicks × CVR, Sales = Orders × AOV ₹450.</t>
        </is>
      </c>
    </row>
    <row r="4">
      <c r="A4" s="87" t="inlineStr">
        <is>
          <t>A. Split by ad type</t>
        </is>
      </c>
      <c r="B4" s="88" t="n"/>
      <c r="C4" s="88" t="n"/>
      <c r="D4" s="88" t="n"/>
      <c r="E4" s="88" t="n"/>
      <c r="F4" s="88" t="n"/>
      <c r="G4" s="88" t="n"/>
      <c r="H4" s="88" t="n"/>
      <c r="I4" s="88" t="n"/>
      <c r="J4" s="88" t="n"/>
      <c r="K4" s="88" t="n"/>
      <c r="L4" s="88" t="n"/>
      <c r="M4" s="88" t="n"/>
      <c r="N4" s="88" t="n"/>
      <c r="O4" s="89" t="n"/>
    </row>
    <row r="5">
      <c r="A5" s="90" t="inlineStr">
        <is>
          <t>Ad type</t>
        </is>
      </c>
      <c r="B5" s="90" t="inlineStr">
        <is>
          <t>Spend</t>
        </is>
      </c>
      <c r="C5" s="90" t="inlineStr">
        <is>
          <t>Impressions</t>
        </is>
      </c>
      <c r="D5" s="90" t="inlineStr">
        <is>
          <t>CPM</t>
        </is>
      </c>
      <c r="E5" s="90" t="inlineStr">
        <is>
          <t>CTR</t>
        </is>
      </c>
      <c r="F5" s="90" t="inlineStr">
        <is>
          <t>Clicks</t>
        </is>
      </c>
      <c r="G5" s="90" t="inlineStr">
        <is>
          <t>CPC</t>
        </is>
      </c>
      <c r="H5" s="90" t="inlineStr">
        <is>
          <t>Orders</t>
        </is>
      </c>
      <c r="I5" s="90" t="inlineStr">
        <is>
          <t>CVR</t>
        </is>
      </c>
      <c r="J5" s="90" t="inlineStr">
        <is>
          <t>CPA</t>
        </is>
      </c>
      <c r="K5" s="90" t="inlineStr">
        <is>
          <t>AOV</t>
        </is>
      </c>
      <c r="L5" s="90" t="inlineStr">
        <is>
          <t>Sales</t>
        </is>
      </c>
      <c r="M5" s="90" t="inlineStr">
        <is>
          <t>ACOS</t>
        </is>
      </c>
      <c r="N5" s="90" t="inlineStr">
        <is>
          <t>ROAS</t>
        </is>
      </c>
      <c r="O5" s="90" t="inlineStr">
        <is>
          <t>Share</t>
        </is>
      </c>
    </row>
    <row r="6">
      <c r="A6" s="91" t="inlineStr">
        <is>
          <t>Sponsored Products</t>
        </is>
      </c>
      <c r="B6" s="92">
        <f>$B$2*O6</f>
        <v/>
      </c>
      <c r="C6" s="93">
        <f>F6/E6</f>
        <v/>
      </c>
      <c r="D6" s="94">
        <f>B6/C6*1000</f>
        <v/>
      </c>
      <c r="E6" s="95" t="n">
        <v>0.004</v>
      </c>
      <c r="F6" s="93">
        <f>B6/G6</f>
        <v/>
      </c>
      <c r="G6" s="96" t="n">
        <v>12</v>
      </c>
      <c r="H6" s="93">
        <f>F6*I6</f>
        <v/>
      </c>
      <c r="I6" s="97" t="n">
        <v>0.08</v>
      </c>
      <c r="J6" s="94">
        <f>B6/H6</f>
        <v/>
      </c>
      <c r="K6" s="92">
        <f>AOV</f>
        <v/>
      </c>
      <c r="L6" s="92">
        <f>H6*K6</f>
        <v/>
      </c>
      <c r="M6" s="98">
        <f>B6/L6</f>
        <v/>
      </c>
      <c r="N6" s="99">
        <f>L6/B6</f>
        <v/>
      </c>
      <c r="O6" s="100" t="n">
        <v>0.6</v>
      </c>
    </row>
    <row r="7">
      <c r="A7" s="91" t="inlineStr">
        <is>
          <t>Sponsored Brands</t>
        </is>
      </c>
      <c r="B7" s="92">
        <f>$B$2*O7</f>
        <v/>
      </c>
      <c r="C7" s="93">
        <f>F7/E7</f>
        <v/>
      </c>
      <c r="D7" s="94">
        <f>B7/C7*1000</f>
        <v/>
      </c>
      <c r="E7" s="95" t="n">
        <v>0.005</v>
      </c>
      <c r="F7" s="93">
        <f>B7/G7</f>
        <v/>
      </c>
      <c r="G7" s="96" t="n">
        <v>15</v>
      </c>
      <c r="H7" s="93">
        <f>F7*I7</f>
        <v/>
      </c>
      <c r="I7" s="97" t="n">
        <v>0.1</v>
      </c>
      <c r="J7" s="94">
        <f>B7/H7</f>
        <v/>
      </c>
      <c r="K7" s="92">
        <f>AOV</f>
        <v/>
      </c>
      <c r="L7" s="92">
        <f>H7*K7</f>
        <v/>
      </c>
      <c r="M7" s="98">
        <f>B7/L7</f>
        <v/>
      </c>
      <c r="N7" s="99">
        <f>L7/B7</f>
        <v/>
      </c>
      <c r="O7" s="100" t="n">
        <v>0.25</v>
      </c>
    </row>
    <row r="8">
      <c r="A8" s="91" t="inlineStr">
        <is>
          <t>Sponsored Display</t>
        </is>
      </c>
      <c r="B8" s="92">
        <f>$B$2*O8</f>
        <v/>
      </c>
      <c r="C8" s="93">
        <f>F8/E8</f>
        <v/>
      </c>
      <c r="D8" s="94">
        <f>B8/C8*1000</f>
        <v/>
      </c>
      <c r="E8" s="95" t="n">
        <v>0.0025</v>
      </c>
      <c r="F8" s="93">
        <f>B8/G8</f>
        <v/>
      </c>
      <c r="G8" s="96" t="n">
        <v>9</v>
      </c>
      <c r="H8" s="93">
        <f>F8*I8</f>
        <v/>
      </c>
      <c r="I8" s="97" t="n">
        <v>0.06</v>
      </c>
      <c r="J8" s="94">
        <f>B8/H8</f>
        <v/>
      </c>
      <c r="K8" s="92">
        <f>AOV</f>
        <v/>
      </c>
      <c r="L8" s="92">
        <f>H8*K8</f>
        <v/>
      </c>
      <c r="M8" s="98">
        <f>B8/L8</f>
        <v/>
      </c>
      <c r="N8" s="99">
        <f>L8/B8</f>
        <v/>
      </c>
      <c r="O8" s="100" t="n">
        <v>0.15</v>
      </c>
    </row>
    <row r="9">
      <c r="A9" s="84" t="inlineStr">
        <is>
          <t>Total</t>
        </is>
      </c>
      <c r="B9" s="85">
        <f>SUM(B6:B8)</f>
        <v/>
      </c>
      <c r="C9" s="101">
        <f>SUM(C6:C8)</f>
        <v/>
      </c>
      <c r="D9" s="102">
        <f>B9/C9*1000</f>
        <v/>
      </c>
      <c r="E9" s="103">
        <f>F9/C9</f>
        <v/>
      </c>
      <c r="F9" s="101">
        <f>SUM(F6:F8)</f>
        <v/>
      </c>
      <c r="G9" s="104">
        <f>B9/F9</f>
        <v/>
      </c>
      <c r="H9" s="101">
        <f>SUM(H6:H8)</f>
        <v/>
      </c>
      <c r="I9" s="105">
        <f>H9/F9</f>
        <v/>
      </c>
      <c r="J9" s="102">
        <f>B9/H9</f>
        <v/>
      </c>
      <c r="K9" s="85">
        <f>L9/H9</f>
        <v/>
      </c>
      <c r="L9" s="85">
        <f>SUM(L6:L8)</f>
        <v/>
      </c>
      <c r="M9" s="105">
        <f>B9/L9</f>
        <v/>
      </c>
      <c r="N9" s="106">
        <f>L9/B9</f>
        <v/>
      </c>
      <c r="O9" s="107">
        <f>SUM(O6:O8)</f>
        <v/>
      </c>
    </row>
    <row r="11">
      <c r="A11" s="87" t="inlineStr">
        <is>
          <t>B. SP campaigns</t>
        </is>
      </c>
      <c r="B11" s="88" t="n"/>
      <c r="C11" s="88" t="n"/>
      <c r="D11" s="88" t="n"/>
      <c r="E11" s="88" t="n"/>
      <c r="F11" s="88" t="n"/>
      <c r="G11" s="88" t="n"/>
      <c r="H11" s="88" t="n"/>
      <c r="I11" s="88" t="n"/>
      <c r="J11" s="88" t="n"/>
      <c r="K11" s="88" t="n"/>
      <c r="L11" s="88" t="n"/>
      <c r="M11" s="88" t="n"/>
      <c r="N11" s="88" t="n"/>
      <c r="O11" s="88" t="n"/>
      <c r="P11" s="89" t="n"/>
    </row>
    <row r="12">
      <c r="A12" s="90" t="inlineStr">
        <is>
          <t>Campaign</t>
        </is>
      </c>
      <c r="B12" s="90" t="inlineStr">
        <is>
          <t>Spend</t>
        </is>
      </c>
      <c r="C12" s="90" t="inlineStr">
        <is>
          <t>Impressions</t>
        </is>
      </c>
      <c r="D12" s="90" t="inlineStr">
        <is>
          <t>CPM</t>
        </is>
      </c>
      <c r="E12" s="90" t="inlineStr">
        <is>
          <t>CTR</t>
        </is>
      </c>
      <c r="F12" s="90" t="inlineStr">
        <is>
          <t>Clicks</t>
        </is>
      </c>
      <c r="G12" s="90" t="inlineStr">
        <is>
          <t>CPC</t>
        </is>
      </c>
      <c r="H12" s="90" t="inlineStr">
        <is>
          <t>Orders</t>
        </is>
      </c>
      <c r="I12" s="90" t="inlineStr">
        <is>
          <t>CVR</t>
        </is>
      </c>
      <c r="J12" s="90" t="inlineStr">
        <is>
          <t>CPA</t>
        </is>
      </c>
      <c r="K12" s="90" t="inlineStr">
        <is>
          <t>AOV</t>
        </is>
      </c>
      <c r="L12" s="90" t="inlineStr">
        <is>
          <t>Sales</t>
        </is>
      </c>
      <c r="M12" s="90" t="inlineStr">
        <is>
          <t>ACOS</t>
        </is>
      </c>
      <c r="N12" s="90" t="inlineStr">
        <is>
          <t>ROAS</t>
        </is>
      </c>
      <c r="O12" s="90" t="inlineStr">
        <is>
          <t>Share in SP</t>
        </is>
      </c>
      <c r="P12" s="90" t="inlineStr">
        <is>
          <t>Why</t>
        </is>
      </c>
    </row>
    <row r="13">
      <c r="A13" s="91" t="inlineStr">
        <is>
          <t>SP/ChettinadChicken/Auto</t>
        </is>
      </c>
      <c r="B13" s="92">
        <f>$B$6*O13</f>
        <v/>
      </c>
      <c r="C13" s="93">
        <f>F13/E13</f>
        <v/>
      </c>
      <c r="D13" s="94">
        <f>B13/C13*1000</f>
        <v/>
      </c>
      <c r="E13" s="108">
        <f>$E$6</f>
        <v/>
      </c>
      <c r="F13" s="93">
        <f>B13/G13</f>
        <v/>
      </c>
      <c r="G13" s="109">
        <f>$G$6</f>
        <v/>
      </c>
      <c r="H13" s="93">
        <f>F13*I13</f>
        <v/>
      </c>
      <c r="I13" s="110">
        <f>$I$6</f>
        <v/>
      </c>
      <c r="J13" s="94">
        <f>B13/H13</f>
        <v/>
      </c>
      <c r="K13" s="92">
        <f>AOV</f>
        <v/>
      </c>
      <c r="L13" s="92">
        <f>H13*K13</f>
        <v/>
      </c>
      <c r="M13" s="98">
        <f>B13/L13</f>
        <v/>
      </c>
      <c r="N13" s="99">
        <f>L13/B13</f>
        <v/>
      </c>
      <c r="O13" s="100" t="n">
        <v>0.2</v>
      </c>
      <c r="P13" s="91" t="inlineStr">
        <is>
          <t>Find new keywords; check search terms weekly</t>
        </is>
      </c>
    </row>
    <row r="14">
      <c r="A14" s="91" t="inlineStr">
        <is>
          <t>SP/ChettinadChicken/Brand KWs/Exact</t>
        </is>
      </c>
      <c r="B14" s="92">
        <f>$B$6*O14</f>
        <v/>
      </c>
      <c r="C14" s="93">
        <f>F14/E14</f>
        <v/>
      </c>
      <c r="D14" s="94">
        <f>B14/C14*1000</f>
        <v/>
      </c>
      <c r="E14" s="108">
        <f>$E$6</f>
        <v/>
      </c>
      <c r="F14" s="93">
        <f>B14/G14</f>
        <v/>
      </c>
      <c r="G14" s="109">
        <f>$G$6</f>
        <v/>
      </c>
      <c r="H14" s="93">
        <f>F14*I14</f>
        <v/>
      </c>
      <c r="I14" s="110">
        <f>$I$6</f>
        <v/>
      </c>
      <c r="J14" s="94">
        <f>B14/H14</f>
        <v/>
      </c>
      <c r="K14" s="92">
        <f>AOV</f>
        <v/>
      </c>
      <c r="L14" s="92">
        <f>H14*K14</f>
        <v/>
      </c>
      <c r="M14" s="98">
        <f>B14/L14</f>
        <v/>
      </c>
      <c r="N14" s="99">
        <f>L14/B14</f>
        <v/>
      </c>
      <c r="O14" s="100" t="n">
        <v>0.06</v>
      </c>
      <c r="P14" s="91" t="inlineStr">
        <is>
          <t>Protect "curry it / curryit" (3,700 searches)</t>
        </is>
      </c>
    </row>
    <row r="15">
      <c r="A15" s="91" t="inlineStr">
        <is>
          <t>SP/ChettinadChicken/Brand KWs/Phrase</t>
        </is>
      </c>
      <c r="B15" s="92">
        <f>$B$6*O15</f>
        <v/>
      </c>
      <c r="C15" s="93">
        <f>F15/E15</f>
        <v/>
      </c>
      <c r="D15" s="94">
        <f>B15/C15*1000</f>
        <v/>
      </c>
      <c r="E15" s="108">
        <f>$E$6</f>
        <v/>
      </c>
      <c r="F15" s="93">
        <f>B15/G15</f>
        <v/>
      </c>
      <c r="G15" s="109">
        <f>$G$6</f>
        <v/>
      </c>
      <c r="H15" s="93">
        <f>F15*I15</f>
        <v/>
      </c>
      <c r="I15" s="110">
        <f>$I$6</f>
        <v/>
      </c>
      <c r="J15" s="94">
        <f>B15/H15</f>
        <v/>
      </c>
      <c r="K15" s="92">
        <f>AOV</f>
        <v/>
      </c>
      <c r="L15" s="92">
        <f>H15*K15</f>
        <v/>
      </c>
      <c r="M15" s="98">
        <f>B15/L15</f>
        <v/>
      </c>
      <c r="N15" s="99">
        <f>L15/B15</f>
        <v/>
      </c>
      <c r="O15" s="100" t="n">
        <v>0.04</v>
      </c>
      <c r="P15" s="91" t="inlineStr"/>
    </row>
    <row r="16">
      <c r="A16" s="91" t="inlineStr">
        <is>
          <t>SP/ChettinadChicken/Brand KWs/Broad</t>
        </is>
      </c>
      <c r="B16" s="92">
        <f>$B$6*O16</f>
        <v/>
      </c>
      <c r="C16" s="93">
        <f>F16/E16</f>
        <v/>
      </c>
      <c r="D16" s="94">
        <f>B16/C16*1000</f>
        <v/>
      </c>
      <c r="E16" s="108">
        <f>$E$6</f>
        <v/>
      </c>
      <c r="F16" s="93">
        <f>B16/G16</f>
        <v/>
      </c>
      <c r="G16" s="109">
        <f>$G$6</f>
        <v/>
      </c>
      <c r="H16" s="93">
        <f>F16*I16</f>
        <v/>
      </c>
      <c r="I16" s="110">
        <f>$I$6</f>
        <v/>
      </c>
      <c r="J16" s="94">
        <f>B16/H16</f>
        <v/>
      </c>
      <c r="K16" s="92">
        <f>AOV</f>
        <v/>
      </c>
      <c r="L16" s="92">
        <f>H16*K16</f>
        <v/>
      </c>
      <c r="M16" s="98">
        <f>B16/L16</f>
        <v/>
      </c>
      <c r="N16" s="99">
        <f>L16/B16</f>
        <v/>
      </c>
      <c r="O16" s="100" t="n">
        <v>0.02</v>
      </c>
      <c r="P16" s="91" t="inlineStr"/>
    </row>
    <row r="17">
      <c r="A17" s="91" t="inlineStr">
        <is>
          <t>SP/ChettinadChicken/Generic KWs/Exact</t>
        </is>
      </c>
      <c r="B17" s="92">
        <f>$B$6*O17</f>
        <v/>
      </c>
      <c r="C17" s="93">
        <f>F17/E17</f>
        <v/>
      </c>
      <c r="D17" s="94">
        <f>B17/C17*1000</f>
        <v/>
      </c>
      <c r="E17" s="108">
        <f>$E$6</f>
        <v/>
      </c>
      <c r="F17" s="93">
        <f>B17/G17</f>
        <v/>
      </c>
      <c r="G17" s="109">
        <f>$G$6</f>
        <v/>
      </c>
      <c r="H17" s="93">
        <f>F17*I17</f>
        <v/>
      </c>
      <c r="I17" s="110">
        <f>$I$6</f>
        <v/>
      </c>
      <c r="J17" s="94">
        <f>B17/H17</f>
        <v/>
      </c>
      <c r="K17" s="92">
        <f>AOV</f>
        <v/>
      </c>
      <c r="L17" s="92">
        <f>H17*K17</f>
        <v/>
      </c>
      <c r="M17" s="98">
        <f>B17/L17</f>
        <v/>
      </c>
      <c r="N17" s="99">
        <f>L17/B17</f>
        <v/>
      </c>
      <c r="O17" s="100" t="n">
        <v>0.18</v>
      </c>
      <c r="P17" s="91" t="inlineStr">
        <is>
          <t>Main pool: 4,190 generic searches (Priority 1)</t>
        </is>
      </c>
    </row>
    <row r="18">
      <c r="A18" s="91" t="inlineStr">
        <is>
          <t>SP/ChettinadChicken/Generic KWs/Phrase</t>
        </is>
      </c>
      <c r="B18" s="92">
        <f>$B$6*O18</f>
        <v/>
      </c>
      <c r="C18" s="93">
        <f>F18/E18</f>
        <v/>
      </c>
      <c r="D18" s="94">
        <f>B18/C18*1000</f>
        <v/>
      </c>
      <c r="E18" s="108">
        <f>$E$6</f>
        <v/>
      </c>
      <c r="F18" s="93">
        <f>B18/G18</f>
        <v/>
      </c>
      <c r="G18" s="109">
        <f>$G$6</f>
        <v/>
      </c>
      <c r="H18" s="93">
        <f>F18*I18</f>
        <v/>
      </c>
      <c r="I18" s="110">
        <f>$I$6</f>
        <v/>
      </c>
      <c r="J18" s="94">
        <f>B18/H18</f>
        <v/>
      </c>
      <c r="K18" s="92">
        <f>AOV</f>
        <v/>
      </c>
      <c r="L18" s="92">
        <f>H18*K18</f>
        <v/>
      </c>
      <c r="M18" s="98">
        <f>B18/L18</f>
        <v/>
      </c>
      <c r="N18" s="99">
        <f>L18/B18</f>
        <v/>
      </c>
      <c r="O18" s="100" t="n">
        <v>0.12</v>
      </c>
      <c r="P18" s="91" t="inlineStr"/>
    </row>
    <row r="19">
      <c r="A19" s="91" t="inlineStr">
        <is>
          <t>SP/ChettinadChicken/Generic KWs/Broad</t>
        </is>
      </c>
      <c r="B19" s="92">
        <f>$B$6*O19</f>
        <v/>
      </c>
      <c r="C19" s="93">
        <f>F19/E19</f>
        <v/>
      </c>
      <c r="D19" s="94">
        <f>B19/C19*1000</f>
        <v/>
      </c>
      <c r="E19" s="108">
        <f>$E$6</f>
        <v/>
      </c>
      <c r="F19" s="93">
        <f>B19/G19</f>
        <v/>
      </c>
      <c r="G19" s="109">
        <f>$G$6</f>
        <v/>
      </c>
      <c r="H19" s="93">
        <f>F19*I19</f>
        <v/>
      </c>
      <c r="I19" s="110">
        <f>$I$6</f>
        <v/>
      </c>
      <c r="J19" s="94">
        <f>B19/H19</f>
        <v/>
      </c>
      <c r="K19" s="92">
        <f>AOV</f>
        <v/>
      </c>
      <c r="L19" s="92">
        <f>H19*K19</f>
        <v/>
      </c>
      <c r="M19" s="98">
        <f>B19/L19</f>
        <v/>
      </c>
      <c r="N19" s="99">
        <f>L19/B19</f>
        <v/>
      </c>
      <c r="O19" s="100" t="n">
        <v>0.06</v>
      </c>
      <c r="P19" s="91" t="inlineStr"/>
    </row>
    <row r="20">
      <c r="A20" s="91" t="inlineStr">
        <is>
          <t>SP/ChettinadChicken/Comp KWs/Exact</t>
        </is>
      </c>
      <c r="B20" s="92">
        <f>$B$6*O20</f>
        <v/>
      </c>
      <c r="C20" s="93">
        <f>F20/E20</f>
        <v/>
      </c>
      <c r="D20" s="94">
        <f>B20/C20*1000</f>
        <v/>
      </c>
      <c r="E20" s="108">
        <f>$E$6</f>
        <v/>
      </c>
      <c r="F20" s="93">
        <f>B20/G20</f>
        <v/>
      </c>
      <c r="G20" s="109">
        <f>$G$6</f>
        <v/>
      </c>
      <c r="H20" s="93">
        <f>F20*I20</f>
        <v/>
      </c>
      <c r="I20" s="110">
        <f>$I$6</f>
        <v/>
      </c>
      <c r="J20" s="94">
        <f>B20/H20</f>
        <v/>
      </c>
      <c r="K20" s="92">
        <f>AOV</f>
        <v/>
      </c>
      <c r="L20" s="92">
        <f>H20*K20</f>
        <v/>
      </c>
      <c r="M20" s="98">
        <f>B20/L20</f>
        <v/>
      </c>
      <c r="N20" s="99">
        <f>L20/B20</f>
        <v/>
      </c>
      <c r="O20" s="100" t="n">
        <v>0.08</v>
      </c>
      <c r="P20" s="91" t="inlineStr">
        <is>
          <t>Comp pool only 820 searches</t>
        </is>
      </c>
    </row>
    <row r="21">
      <c r="A21" s="91" t="inlineStr">
        <is>
          <t>SP/ChettinadChicken/Comp KWs/Phrase</t>
        </is>
      </c>
      <c r="B21" s="92">
        <f>$B$6*O21</f>
        <v/>
      </c>
      <c r="C21" s="93">
        <f>F21/E21</f>
        <v/>
      </c>
      <c r="D21" s="94">
        <f>B21/C21*1000</f>
        <v/>
      </c>
      <c r="E21" s="108">
        <f>$E$6</f>
        <v/>
      </c>
      <c r="F21" s="93">
        <f>B21/G21</f>
        <v/>
      </c>
      <c r="G21" s="109">
        <f>$G$6</f>
        <v/>
      </c>
      <c r="H21" s="93">
        <f>F21*I21</f>
        <v/>
      </c>
      <c r="I21" s="110">
        <f>$I$6</f>
        <v/>
      </c>
      <c r="J21" s="94">
        <f>B21/H21</f>
        <v/>
      </c>
      <c r="K21" s="92">
        <f>AOV</f>
        <v/>
      </c>
      <c r="L21" s="92">
        <f>H21*K21</f>
        <v/>
      </c>
      <c r="M21" s="98">
        <f>B21/L21</f>
        <v/>
      </c>
      <c r="N21" s="99">
        <f>L21/B21</f>
        <v/>
      </c>
      <c r="O21" s="100" t="n">
        <v>0.05</v>
      </c>
      <c r="P21" s="91" t="inlineStr"/>
    </row>
    <row r="22">
      <c r="A22" s="91" t="inlineStr">
        <is>
          <t>SP/ChettinadChicken/Comp KWs/Broad</t>
        </is>
      </c>
      <c r="B22" s="92">
        <f>$B$6*O22</f>
        <v/>
      </c>
      <c r="C22" s="93">
        <f>F22/E22</f>
        <v/>
      </c>
      <c r="D22" s="94">
        <f>B22/C22*1000</f>
        <v/>
      </c>
      <c r="E22" s="108">
        <f>$E$6</f>
        <v/>
      </c>
      <c r="F22" s="93">
        <f>B22/G22</f>
        <v/>
      </c>
      <c r="G22" s="109">
        <f>$G$6</f>
        <v/>
      </c>
      <c r="H22" s="93">
        <f>F22*I22</f>
        <v/>
      </c>
      <c r="I22" s="110">
        <f>$I$6</f>
        <v/>
      </c>
      <c r="J22" s="94">
        <f>B22/H22</f>
        <v/>
      </c>
      <c r="K22" s="92">
        <f>AOV</f>
        <v/>
      </c>
      <c r="L22" s="92">
        <f>H22*K22</f>
        <v/>
      </c>
      <c r="M22" s="98">
        <f>B22/L22</f>
        <v/>
      </c>
      <c r="N22" s="99">
        <f>L22/B22</f>
        <v/>
      </c>
      <c r="O22" s="100" t="n">
        <v>0.03</v>
      </c>
      <c r="P22" s="91" t="inlineStr"/>
    </row>
    <row r="23">
      <c r="A23" s="91" t="inlineStr">
        <is>
          <t>SP/ChettinadChicken/CT</t>
        </is>
      </c>
      <c r="B23" s="92">
        <f>$B$6*O23</f>
        <v/>
      </c>
      <c r="C23" s="93">
        <f>F23/E23</f>
        <v/>
      </c>
      <c r="D23" s="94">
        <f>B23/C23*1000</f>
        <v/>
      </c>
      <c r="E23" s="108">
        <f>$E$6</f>
        <v/>
      </c>
      <c r="F23" s="93">
        <f>B23/G23</f>
        <v/>
      </c>
      <c r="G23" s="109">
        <f>$G$6</f>
        <v/>
      </c>
      <c r="H23" s="93">
        <f>F23*I23</f>
        <v/>
      </c>
      <c r="I23" s="110">
        <f>$I$6</f>
        <v/>
      </c>
      <c r="J23" s="94">
        <f>B23/H23</f>
        <v/>
      </c>
      <c r="K23" s="92">
        <f>AOV</f>
        <v/>
      </c>
      <c r="L23" s="92">
        <f>H23*K23</f>
        <v/>
      </c>
      <c r="M23" s="98">
        <f>B23/L23</f>
        <v/>
      </c>
      <c r="N23" s="99">
        <f>L23/B23</f>
        <v/>
      </c>
      <c r="O23" s="100" t="n">
        <v>0.06</v>
      </c>
      <c r="P23" s="91" t="inlineStr">
        <is>
          <t>Category reach</t>
        </is>
      </c>
    </row>
    <row r="24">
      <c r="A24" s="91" t="inlineStr">
        <is>
          <t>SP/ChettinadChicken/IP/CompTar</t>
        </is>
      </c>
      <c r="B24" s="92">
        <f>$B$6*O24</f>
        <v/>
      </c>
      <c r="C24" s="93">
        <f>F24/E24</f>
        <v/>
      </c>
      <c r="D24" s="94">
        <f>B24/C24*1000</f>
        <v/>
      </c>
      <c r="E24" s="108">
        <f>$E$6</f>
        <v/>
      </c>
      <c r="F24" s="93">
        <f>B24/G24</f>
        <v/>
      </c>
      <c r="G24" s="109">
        <f>$G$6</f>
        <v/>
      </c>
      <c r="H24" s="93">
        <f>F24*I24</f>
        <v/>
      </c>
      <c r="I24" s="110">
        <f>$I$6</f>
        <v/>
      </c>
      <c r="J24" s="94">
        <f>B24/H24</f>
        <v/>
      </c>
      <c r="K24" s="92">
        <f>AOV</f>
        <v/>
      </c>
      <c r="L24" s="92">
        <f>H24*K24</f>
        <v/>
      </c>
      <c r="M24" s="98">
        <f>B24/L24</f>
        <v/>
      </c>
      <c r="N24" s="99">
        <f>L24/B24</f>
        <v/>
      </c>
      <c r="O24" s="100" t="n">
        <v>0.07000000000000001</v>
      </c>
      <c r="P24" s="91" t="inlineStr">
        <is>
          <t>Competitor product pages</t>
        </is>
      </c>
    </row>
    <row r="25">
      <c r="A25" s="91" t="inlineStr">
        <is>
          <t>SP/ChettinadChicken/IP/BrandTar</t>
        </is>
      </c>
      <c r="B25" s="92">
        <f>$B$6*O25</f>
        <v/>
      </c>
      <c r="C25" s="93">
        <f>F25/E25</f>
        <v/>
      </c>
      <c r="D25" s="94">
        <f>B25/C25*1000</f>
        <v/>
      </c>
      <c r="E25" s="108">
        <f>$E$6</f>
        <v/>
      </c>
      <c r="F25" s="93">
        <f>B25/G25</f>
        <v/>
      </c>
      <c r="G25" s="109">
        <f>$G$6</f>
        <v/>
      </c>
      <c r="H25" s="93">
        <f>F25*I25</f>
        <v/>
      </c>
      <c r="I25" s="110">
        <f>$I$6</f>
        <v/>
      </c>
      <c r="J25" s="94">
        <f>B25/H25</f>
        <v/>
      </c>
      <c r="K25" s="92">
        <f>AOV</f>
        <v/>
      </c>
      <c r="L25" s="92">
        <f>H25*K25</f>
        <v/>
      </c>
      <c r="M25" s="98">
        <f>B25/L25</f>
        <v/>
      </c>
      <c r="N25" s="99">
        <f>L25/B25</f>
        <v/>
      </c>
      <c r="O25" s="100" t="n">
        <v>0.03</v>
      </c>
      <c r="P25" s="91" t="inlineStr">
        <is>
          <t>Defend own pages</t>
        </is>
      </c>
    </row>
    <row r="26">
      <c r="A26" s="84" t="inlineStr">
        <is>
          <t>Total SP</t>
        </is>
      </c>
      <c r="B26" s="85">
        <f>SUM(B13:B25)</f>
        <v/>
      </c>
      <c r="C26" s="101">
        <f>SUM(C13:C25)</f>
        <v/>
      </c>
      <c r="D26" s="102">
        <f>B26/C26*1000</f>
        <v/>
      </c>
      <c r="E26" s="103">
        <f>F26/C26</f>
        <v/>
      </c>
      <c r="F26" s="101">
        <f>SUM(F13:F25)</f>
        <v/>
      </c>
      <c r="G26" s="104">
        <f>B26/F26</f>
        <v/>
      </c>
      <c r="H26" s="101">
        <f>SUM(H13:H25)</f>
        <v/>
      </c>
      <c r="I26" s="105">
        <f>H26/F26</f>
        <v/>
      </c>
      <c r="J26" s="102">
        <f>B26/H26</f>
        <v/>
      </c>
      <c r="K26" s="85">
        <f>L26/H26</f>
        <v/>
      </c>
      <c r="L26" s="85">
        <f>SUM(L13:L25)</f>
        <v/>
      </c>
      <c r="M26" s="105">
        <f>B26/L26</f>
        <v/>
      </c>
      <c r="N26" s="106">
        <f>L26/B26</f>
        <v/>
      </c>
      <c r="O26" s="107">
        <f>SUM(O13:O25)</f>
        <v/>
      </c>
      <c r="P26" s="111" t="inlineStr"/>
    </row>
    <row r="28">
      <c r="A28" s="87" t="inlineStr">
        <is>
          <t>B. SB campaigns</t>
        </is>
      </c>
      <c r="B28" s="88" t="n"/>
      <c r="C28" s="88" t="n"/>
      <c r="D28" s="88" t="n"/>
      <c r="E28" s="88" t="n"/>
      <c r="F28" s="88" t="n"/>
      <c r="G28" s="88" t="n"/>
      <c r="H28" s="88" t="n"/>
      <c r="I28" s="88" t="n"/>
      <c r="J28" s="88" t="n"/>
      <c r="K28" s="88" t="n"/>
      <c r="L28" s="88" t="n"/>
      <c r="M28" s="88" t="n"/>
      <c r="N28" s="88" t="n"/>
      <c r="O28" s="88" t="n"/>
      <c r="P28" s="89" t="n"/>
    </row>
    <row r="29">
      <c r="A29" s="90" t="inlineStr">
        <is>
          <t>Campaign</t>
        </is>
      </c>
      <c r="B29" s="90" t="inlineStr">
        <is>
          <t>Spend</t>
        </is>
      </c>
      <c r="C29" s="90" t="inlineStr">
        <is>
          <t>Impressions</t>
        </is>
      </c>
      <c r="D29" s="90" t="inlineStr">
        <is>
          <t>CPM</t>
        </is>
      </c>
      <c r="E29" s="90" t="inlineStr">
        <is>
          <t>CTR</t>
        </is>
      </c>
      <c r="F29" s="90" t="inlineStr">
        <is>
          <t>Clicks</t>
        </is>
      </c>
      <c r="G29" s="90" t="inlineStr">
        <is>
          <t>CPC</t>
        </is>
      </c>
      <c r="H29" s="90" t="inlineStr">
        <is>
          <t>Orders</t>
        </is>
      </c>
      <c r="I29" s="90" t="inlineStr">
        <is>
          <t>CVR</t>
        </is>
      </c>
      <c r="J29" s="90" t="inlineStr">
        <is>
          <t>CPA</t>
        </is>
      </c>
      <c r="K29" s="90" t="inlineStr">
        <is>
          <t>AOV</t>
        </is>
      </c>
      <c r="L29" s="90" t="inlineStr">
        <is>
          <t>Sales</t>
        </is>
      </c>
      <c r="M29" s="90" t="inlineStr">
        <is>
          <t>ACOS</t>
        </is>
      </c>
      <c r="N29" s="90" t="inlineStr">
        <is>
          <t>ROAS</t>
        </is>
      </c>
      <c r="O29" s="90" t="inlineStr">
        <is>
          <t>Share in SB</t>
        </is>
      </c>
      <c r="P29" s="90" t="inlineStr">
        <is>
          <t>Why</t>
        </is>
      </c>
    </row>
    <row r="30">
      <c r="A30" s="91" t="inlineStr">
        <is>
          <t>SB/Video/Brand kws-Exact</t>
        </is>
      </c>
      <c r="B30" s="92">
        <f>$B$7*O30</f>
        <v/>
      </c>
      <c r="C30" s="93">
        <f>F30/E30</f>
        <v/>
      </c>
      <c r="D30" s="94">
        <f>B30/C30*1000</f>
        <v/>
      </c>
      <c r="E30" s="108">
        <f>$E$7</f>
        <v/>
      </c>
      <c r="F30" s="93">
        <f>B30/G30</f>
        <v/>
      </c>
      <c r="G30" s="109">
        <f>$G$7</f>
        <v/>
      </c>
      <c r="H30" s="93">
        <f>F30*I30</f>
        <v/>
      </c>
      <c r="I30" s="110">
        <f>$I$7</f>
        <v/>
      </c>
      <c r="J30" s="94">
        <f>B30/H30</f>
        <v/>
      </c>
      <c r="K30" s="92">
        <f>AOV</f>
        <v/>
      </c>
      <c r="L30" s="92">
        <f>H30*K30</f>
        <v/>
      </c>
      <c r="M30" s="98">
        <f>B30/L30</f>
        <v/>
      </c>
      <c r="N30" s="99">
        <f>L30/B30</f>
        <v/>
      </c>
      <c r="O30" s="100" t="n">
        <v>0.15</v>
      </c>
      <c r="P30" s="91" t="inlineStr">
        <is>
          <t>Brand video</t>
        </is>
      </c>
    </row>
    <row r="31">
      <c r="A31" s="91" t="inlineStr">
        <is>
          <t>SB/Video/Brand kws-Phrase</t>
        </is>
      </c>
      <c r="B31" s="92">
        <f>$B$7*O31</f>
        <v/>
      </c>
      <c r="C31" s="93">
        <f>F31/E31</f>
        <v/>
      </c>
      <c r="D31" s="94">
        <f>B31/C31*1000</f>
        <v/>
      </c>
      <c r="E31" s="108">
        <f>$E$7</f>
        <v/>
      </c>
      <c r="F31" s="93">
        <f>B31/G31</f>
        <v/>
      </c>
      <c r="G31" s="109">
        <f>$G$7</f>
        <v/>
      </c>
      <c r="H31" s="93">
        <f>F31*I31</f>
        <v/>
      </c>
      <c r="I31" s="110">
        <f>$I$7</f>
        <v/>
      </c>
      <c r="J31" s="94">
        <f>B31/H31</f>
        <v/>
      </c>
      <c r="K31" s="92">
        <f>AOV</f>
        <v/>
      </c>
      <c r="L31" s="92">
        <f>H31*K31</f>
        <v/>
      </c>
      <c r="M31" s="98">
        <f>B31/L31</f>
        <v/>
      </c>
      <c r="N31" s="99">
        <f>L31/B31</f>
        <v/>
      </c>
      <c r="O31" s="100" t="n">
        <v>0.1</v>
      </c>
      <c r="P31" s="91" t="inlineStr"/>
    </row>
    <row r="32">
      <c r="A32" s="91" t="inlineStr">
        <is>
          <t>SB/Video/Generic Chettinad kws-Exact</t>
        </is>
      </c>
      <c r="B32" s="92">
        <f>$B$7*O32</f>
        <v/>
      </c>
      <c r="C32" s="93">
        <f>F32/E32</f>
        <v/>
      </c>
      <c r="D32" s="94">
        <f>B32/C32*1000</f>
        <v/>
      </c>
      <c r="E32" s="108">
        <f>$E$7</f>
        <v/>
      </c>
      <c r="F32" s="93">
        <f>B32/G32</f>
        <v/>
      </c>
      <c r="G32" s="109">
        <f>$G$7</f>
        <v/>
      </c>
      <c r="H32" s="93">
        <f>F32*I32</f>
        <v/>
      </c>
      <c r="I32" s="110">
        <f>$I$7</f>
        <v/>
      </c>
      <c r="J32" s="94">
        <f>B32/H32</f>
        <v/>
      </c>
      <c r="K32" s="92">
        <f>AOV</f>
        <v/>
      </c>
      <c r="L32" s="92">
        <f>H32*K32</f>
        <v/>
      </c>
      <c r="M32" s="98">
        <f>B32/L32</f>
        <v/>
      </c>
      <c r="N32" s="99">
        <f>L32/B32</f>
        <v/>
      </c>
      <c r="O32" s="100" t="n">
        <v>0.3</v>
      </c>
      <c r="P32" s="91" t="inlineStr">
        <is>
          <t>15-min video on generic search</t>
        </is>
      </c>
    </row>
    <row r="33">
      <c r="A33" s="91" t="inlineStr">
        <is>
          <t>SB/Video/Generic Chettinad kws-Phrase</t>
        </is>
      </c>
      <c r="B33" s="92">
        <f>$B$7*O33</f>
        <v/>
      </c>
      <c r="C33" s="93">
        <f>F33/E33</f>
        <v/>
      </c>
      <c r="D33" s="94">
        <f>B33/C33*1000</f>
        <v/>
      </c>
      <c r="E33" s="108">
        <f>$E$7</f>
        <v/>
      </c>
      <c r="F33" s="93">
        <f>B33/G33</f>
        <v/>
      </c>
      <c r="G33" s="109">
        <f>$G$7</f>
        <v/>
      </c>
      <c r="H33" s="93">
        <f>F33*I33</f>
        <v/>
      </c>
      <c r="I33" s="110">
        <f>$I$7</f>
        <v/>
      </c>
      <c r="J33" s="94">
        <f>B33/H33</f>
        <v/>
      </c>
      <c r="K33" s="92">
        <f>AOV</f>
        <v/>
      </c>
      <c r="L33" s="92">
        <f>H33*K33</f>
        <v/>
      </c>
      <c r="M33" s="98">
        <f>B33/L33</f>
        <v/>
      </c>
      <c r="N33" s="99">
        <f>L33/B33</f>
        <v/>
      </c>
      <c r="O33" s="100" t="n">
        <v>0.2</v>
      </c>
      <c r="P33" s="91" t="inlineStr"/>
    </row>
    <row r="34">
      <c r="A34" s="91" t="inlineStr">
        <is>
          <t>SB/Video/Comp kws-Exact</t>
        </is>
      </c>
      <c r="B34" s="92">
        <f>$B$7*O34</f>
        <v/>
      </c>
      <c r="C34" s="93">
        <f>F34/E34</f>
        <v/>
      </c>
      <c r="D34" s="94">
        <f>B34/C34*1000</f>
        <v/>
      </c>
      <c r="E34" s="108">
        <f>$E$7</f>
        <v/>
      </c>
      <c r="F34" s="93">
        <f>B34/G34</f>
        <v/>
      </c>
      <c r="G34" s="109">
        <f>$G$7</f>
        <v/>
      </c>
      <c r="H34" s="93">
        <f>F34*I34</f>
        <v/>
      </c>
      <c r="I34" s="110">
        <f>$I$7</f>
        <v/>
      </c>
      <c r="J34" s="94">
        <f>B34/H34</f>
        <v/>
      </c>
      <c r="K34" s="92">
        <f>AOV</f>
        <v/>
      </c>
      <c r="L34" s="92">
        <f>H34*K34</f>
        <v/>
      </c>
      <c r="M34" s="98">
        <f>B34/L34</f>
        <v/>
      </c>
      <c r="N34" s="99">
        <f>L34/B34</f>
        <v/>
      </c>
      <c r="O34" s="100" t="n">
        <v>0.15</v>
      </c>
      <c r="P34" s="91" t="inlineStr">
        <is>
          <t>Video to make comp shopper switch</t>
        </is>
      </c>
    </row>
    <row r="35">
      <c r="A35" s="91" t="inlineStr">
        <is>
          <t>SB/Video/Comp kws-Phrase</t>
        </is>
      </c>
      <c r="B35" s="92">
        <f>$B$7*O35</f>
        <v/>
      </c>
      <c r="C35" s="93">
        <f>F35/E35</f>
        <v/>
      </c>
      <c r="D35" s="94">
        <f>B35/C35*1000</f>
        <v/>
      </c>
      <c r="E35" s="108">
        <f>$E$7</f>
        <v/>
      </c>
      <c r="F35" s="93">
        <f>B35/G35</f>
        <v/>
      </c>
      <c r="G35" s="109">
        <f>$G$7</f>
        <v/>
      </c>
      <c r="H35" s="93">
        <f>F35*I35</f>
        <v/>
      </c>
      <c r="I35" s="110">
        <f>$I$7</f>
        <v/>
      </c>
      <c r="J35" s="94">
        <f>B35/H35</f>
        <v/>
      </c>
      <c r="K35" s="92">
        <f>AOV</f>
        <v/>
      </c>
      <c r="L35" s="92">
        <f>H35*K35</f>
        <v/>
      </c>
      <c r="M35" s="98">
        <f>B35/L35</f>
        <v/>
      </c>
      <c r="N35" s="99">
        <f>L35/B35</f>
        <v/>
      </c>
      <c r="O35" s="100" t="n">
        <v>0.1</v>
      </c>
      <c r="P35" s="91" t="inlineStr"/>
    </row>
    <row r="36">
      <c r="A36" s="84" t="inlineStr">
        <is>
          <t>Total SB</t>
        </is>
      </c>
      <c r="B36" s="85">
        <f>SUM(B30:B35)</f>
        <v/>
      </c>
      <c r="C36" s="101">
        <f>SUM(C30:C35)</f>
        <v/>
      </c>
      <c r="D36" s="102">
        <f>B36/C36*1000</f>
        <v/>
      </c>
      <c r="E36" s="103">
        <f>F36/C36</f>
        <v/>
      </c>
      <c r="F36" s="101">
        <f>SUM(F30:F35)</f>
        <v/>
      </c>
      <c r="G36" s="104">
        <f>B36/F36</f>
        <v/>
      </c>
      <c r="H36" s="101">
        <f>SUM(H30:H35)</f>
        <v/>
      </c>
      <c r="I36" s="105">
        <f>H36/F36</f>
        <v/>
      </c>
      <c r="J36" s="102">
        <f>B36/H36</f>
        <v/>
      </c>
      <c r="K36" s="85">
        <f>L36/H36</f>
        <v/>
      </c>
      <c r="L36" s="85">
        <f>SUM(L30:L35)</f>
        <v/>
      </c>
      <c r="M36" s="105">
        <f>B36/L36</f>
        <v/>
      </c>
      <c r="N36" s="106">
        <f>L36/B36</f>
        <v/>
      </c>
      <c r="O36" s="107">
        <f>SUM(O30:O35)</f>
        <v/>
      </c>
      <c r="P36" s="111" t="inlineStr"/>
    </row>
    <row r="38">
      <c r="A38" s="87" t="inlineStr">
        <is>
          <t>B. SD campaigns</t>
        </is>
      </c>
      <c r="B38" s="88" t="n"/>
      <c r="C38" s="88" t="n"/>
      <c r="D38" s="88" t="n"/>
      <c r="E38" s="88" t="n"/>
      <c r="F38" s="88" t="n"/>
      <c r="G38" s="88" t="n"/>
      <c r="H38" s="88" t="n"/>
      <c r="I38" s="88" t="n"/>
      <c r="J38" s="88" t="n"/>
      <c r="K38" s="88" t="n"/>
      <c r="L38" s="88" t="n"/>
      <c r="M38" s="88" t="n"/>
      <c r="N38" s="88" t="n"/>
      <c r="O38" s="88" t="n"/>
      <c r="P38" s="89" t="n"/>
    </row>
    <row r="39">
      <c r="A39" s="90" t="inlineStr">
        <is>
          <t>Campaign</t>
        </is>
      </c>
      <c r="B39" s="90" t="inlineStr">
        <is>
          <t>Spend</t>
        </is>
      </c>
      <c r="C39" s="90" t="inlineStr">
        <is>
          <t>Impressions</t>
        </is>
      </c>
      <c r="D39" s="90" t="inlineStr">
        <is>
          <t>CPM</t>
        </is>
      </c>
      <c r="E39" s="90" t="inlineStr">
        <is>
          <t>CTR</t>
        </is>
      </c>
      <c r="F39" s="90" t="inlineStr">
        <is>
          <t>Clicks</t>
        </is>
      </c>
      <c r="G39" s="90" t="inlineStr">
        <is>
          <t>CPC</t>
        </is>
      </c>
      <c r="H39" s="90" t="inlineStr">
        <is>
          <t>Orders</t>
        </is>
      </c>
      <c r="I39" s="90" t="inlineStr">
        <is>
          <t>CVR</t>
        </is>
      </c>
      <c r="J39" s="90" t="inlineStr">
        <is>
          <t>CPA</t>
        </is>
      </c>
      <c r="K39" s="90" t="inlineStr">
        <is>
          <t>AOV</t>
        </is>
      </c>
      <c r="L39" s="90" t="inlineStr">
        <is>
          <t>Sales</t>
        </is>
      </c>
      <c r="M39" s="90" t="inlineStr">
        <is>
          <t>ACOS</t>
        </is>
      </c>
      <c r="N39" s="90" t="inlineStr">
        <is>
          <t>ROAS</t>
        </is>
      </c>
      <c r="O39" s="90" t="inlineStr">
        <is>
          <t>Share in SD</t>
        </is>
      </c>
      <c r="P39" s="90" t="inlineStr">
        <is>
          <t>Why</t>
        </is>
      </c>
    </row>
    <row r="40">
      <c r="A40" s="91" t="inlineStr">
        <is>
          <t>SD/Remarketing/Views</t>
        </is>
      </c>
      <c r="B40" s="92">
        <f>$B$8*O40</f>
        <v/>
      </c>
      <c r="C40" s="93">
        <f>F40/E40</f>
        <v/>
      </c>
      <c r="D40" s="94">
        <f>B40/C40*1000</f>
        <v/>
      </c>
      <c r="E40" s="108">
        <f>$E$8</f>
        <v/>
      </c>
      <c r="F40" s="93">
        <f>B40/G40</f>
        <v/>
      </c>
      <c r="G40" s="109">
        <f>$G$8</f>
        <v/>
      </c>
      <c r="H40" s="93">
        <f>F40*I40</f>
        <v/>
      </c>
      <c r="I40" s="110">
        <f>$I$8</f>
        <v/>
      </c>
      <c r="J40" s="94">
        <f>B40/H40</f>
        <v/>
      </c>
      <c r="K40" s="92">
        <f>AOV</f>
        <v/>
      </c>
      <c r="L40" s="92">
        <f>H40*K40</f>
        <v/>
      </c>
      <c r="M40" s="98">
        <f>B40/L40</f>
        <v/>
      </c>
      <c r="N40" s="99">
        <f>L40/B40</f>
        <v/>
      </c>
      <c r="O40" s="100" t="n">
        <v>0.5</v>
      </c>
      <c r="P40" s="91" t="inlineStr">
        <is>
          <t>Viewed but did not buy</t>
        </is>
      </c>
    </row>
    <row r="41">
      <c r="A41" s="91" t="inlineStr">
        <is>
          <t>SD/Contextual/IP-Comp</t>
        </is>
      </c>
      <c r="B41" s="92">
        <f>$B$8*O41</f>
        <v/>
      </c>
      <c r="C41" s="93">
        <f>F41/E41</f>
        <v/>
      </c>
      <c r="D41" s="94">
        <f>B41/C41*1000</f>
        <v/>
      </c>
      <c r="E41" s="108">
        <f>$E$8</f>
        <v/>
      </c>
      <c r="F41" s="93">
        <f>B41/G41</f>
        <v/>
      </c>
      <c r="G41" s="109">
        <f>$G$8</f>
        <v/>
      </c>
      <c r="H41" s="93">
        <f>F41*I41</f>
        <v/>
      </c>
      <c r="I41" s="110">
        <f>$I$8</f>
        <v/>
      </c>
      <c r="J41" s="94">
        <f>B41/H41</f>
        <v/>
      </c>
      <c r="K41" s="92">
        <f>AOV</f>
        <v/>
      </c>
      <c r="L41" s="92">
        <f>H41*K41</f>
        <v/>
      </c>
      <c r="M41" s="98">
        <f>B41/L41</f>
        <v/>
      </c>
      <c r="N41" s="99">
        <f>L41/B41</f>
        <v/>
      </c>
      <c r="O41" s="100" t="n">
        <v>0.25</v>
      </c>
      <c r="P41" s="91" t="inlineStr">
        <is>
          <t>Competitor pages</t>
        </is>
      </c>
    </row>
    <row r="42">
      <c r="A42" s="91" t="inlineStr">
        <is>
          <t>SD/Contextual/CT</t>
        </is>
      </c>
      <c r="B42" s="92">
        <f>$B$8*O42</f>
        <v/>
      </c>
      <c r="C42" s="93">
        <f>F42/E42</f>
        <v/>
      </c>
      <c r="D42" s="94">
        <f>B42/C42*1000</f>
        <v/>
      </c>
      <c r="E42" s="108">
        <f>$E$8</f>
        <v/>
      </c>
      <c r="F42" s="93">
        <f>B42/G42</f>
        <v/>
      </c>
      <c r="G42" s="109">
        <f>$G$8</f>
        <v/>
      </c>
      <c r="H42" s="93">
        <f>F42*I42</f>
        <v/>
      </c>
      <c r="I42" s="110">
        <f>$I$8</f>
        <v/>
      </c>
      <c r="J42" s="94">
        <f>B42/H42</f>
        <v/>
      </c>
      <c r="K42" s="92">
        <f>AOV</f>
        <v/>
      </c>
      <c r="L42" s="92">
        <f>H42*K42</f>
        <v/>
      </c>
      <c r="M42" s="98">
        <f>B42/L42</f>
        <v/>
      </c>
      <c r="N42" s="99">
        <f>L42/B42</f>
        <v/>
      </c>
      <c r="O42" s="100" t="n">
        <v>0.15</v>
      </c>
      <c r="P42" s="91" t="inlineStr">
        <is>
          <t>Category pages</t>
        </is>
      </c>
    </row>
    <row r="43">
      <c r="A43" s="91" t="inlineStr">
        <is>
          <t>SD/Contextual/IP-Brand</t>
        </is>
      </c>
      <c r="B43" s="92">
        <f>$B$8*O43</f>
        <v/>
      </c>
      <c r="C43" s="93">
        <f>F43/E43</f>
        <v/>
      </c>
      <c r="D43" s="94">
        <f>B43/C43*1000</f>
        <v/>
      </c>
      <c r="E43" s="108">
        <f>$E$8</f>
        <v/>
      </c>
      <c r="F43" s="93">
        <f>B43/G43</f>
        <v/>
      </c>
      <c r="G43" s="109">
        <f>$G$8</f>
        <v/>
      </c>
      <c r="H43" s="93">
        <f>F43*I43</f>
        <v/>
      </c>
      <c r="I43" s="110">
        <f>$I$8</f>
        <v/>
      </c>
      <c r="J43" s="94">
        <f>B43/H43</f>
        <v/>
      </c>
      <c r="K43" s="92">
        <f>AOV</f>
        <v/>
      </c>
      <c r="L43" s="92">
        <f>H43*K43</f>
        <v/>
      </c>
      <c r="M43" s="98">
        <f>B43/L43</f>
        <v/>
      </c>
      <c r="N43" s="99">
        <f>L43/B43</f>
        <v/>
      </c>
      <c r="O43" s="100" t="n">
        <v>0.1</v>
      </c>
      <c r="P43" s="91" t="inlineStr">
        <is>
          <t>Own pages</t>
        </is>
      </c>
    </row>
    <row r="44">
      <c r="A44" s="84" t="inlineStr">
        <is>
          <t>Total SD</t>
        </is>
      </c>
      <c r="B44" s="85">
        <f>SUM(B40:B43)</f>
        <v/>
      </c>
      <c r="C44" s="101">
        <f>SUM(C40:C43)</f>
        <v/>
      </c>
      <c r="D44" s="102">
        <f>B44/C44*1000</f>
        <v/>
      </c>
      <c r="E44" s="103">
        <f>F44/C44</f>
        <v/>
      </c>
      <c r="F44" s="101">
        <f>SUM(F40:F43)</f>
        <v/>
      </c>
      <c r="G44" s="104">
        <f>B44/F44</f>
        <v/>
      </c>
      <c r="H44" s="101">
        <f>SUM(H40:H43)</f>
        <v/>
      </c>
      <c r="I44" s="105">
        <f>H44/F44</f>
        <v/>
      </c>
      <c r="J44" s="102">
        <f>B44/H44</f>
        <v/>
      </c>
      <c r="K44" s="85">
        <f>L44/H44</f>
        <v/>
      </c>
      <c r="L44" s="85">
        <f>SUM(L40:L43)</f>
        <v/>
      </c>
      <c r="M44" s="105">
        <f>B44/L44</f>
        <v/>
      </c>
      <c r="N44" s="106">
        <f>L44/B44</f>
        <v/>
      </c>
      <c r="O44" s="107">
        <f>SUM(O40:O43)</f>
        <v/>
      </c>
      <c r="P44" s="111" t="inlineStr"/>
    </row>
  </sheetData>
  <mergeCells count="6">
    <mergeCell ref="A11:P11"/>
    <mergeCell ref="A28:P28"/>
    <mergeCell ref="A1:O1"/>
    <mergeCell ref="A38:P38"/>
    <mergeCell ref="A4:O4"/>
    <mergeCell ref="C2:O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7" customWidth="1" min="4" max="4"/>
    <col width="7" customWidth="1" min="5" max="5"/>
    <col width="9" customWidth="1" min="6" max="6"/>
    <col width="7" customWidth="1" min="7" max="7"/>
    <col width="8" customWidth="1" min="8" max="8"/>
    <col width="7" customWidth="1" min="9" max="9"/>
    <col width="7" customWidth="1" min="10" max="10"/>
    <col width="8" customWidth="1" min="11" max="11"/>
    <col width="12" customWidth="1" min="12" max="12"/>
    <col width="8" customWidth="1" min="13" max="13"/>
    <col width="7" customWidth="1" min="14" max="14"/>
    <col width="10" customWidth="1" min="15" max="15"/>
    <col width="40" customWidth="1" min="16" max="16"/>
  </cols>
  <sheetData>
    <row r="1">
      <c r="A1" s="83" t="inlineStr">
        <is>
          <t>Month 3 &amp; 4 – Grow what works</t>
        </is>
      </c>
    </row>
    <row r="2">
      <c r="A2" s="84" t="inlineStr">
        <is>
          <t>Phase budget (2 months, from Media Planning)</t>
        </is>
      </c>
      <c r="B2" s="85">
        <f>'Media Planning'!C7+'Media Planning'!C8</f>
        <v/>
      </c>
      <c r="C2" s="86" t="inlineStr">
        <is>
          <t>Yellow = input (share / benchmark). Everything else is a formula: Clicks = Spend ÷ CPC, Impressions = Clicks ÷ CTR, Orders = Clicks × CVR, Sales = Orders × AOV ₹450.</t>
        </is>
      </c>
    </row>
    <row r="4">
      <c r="A4" s="87" t="inlineStr">
        <is>
          <t>A. Split by ad type</t>
        </is>
      </c>
      <c r="B4" s="88" t="n"/>
      <c r="C4" s="88" t="n"/>
      <c r="D4" s="88" t="n"/>
      <c r="E4" s="88" t="n"/>
      <c r="F4" s="88" t="n"/>
      <c r="G4" s="88" t="n"/>
      <c r="H4" s="88" t="n"/>
      <c r="I4" s="88" t="n"/>
      <c r="J4" s="88" t="n"/>
      <c r="K4" s="88" t="n"/>
      <c r="L4" s="88" t="n"/>
      <c r="M4" s="88" t="n"/>
      <c r="N4" s="88" t="n"/>
      <c r="O4" s="89" t="n"/>
    </row>
    <row r="5">
      <c r="A5" s="90" t="inlineStr">
        <is>
          <t>Ad type</t>
        </is>
      </c>
      <c r="B5" s="90" t="inlineStr">
        <is>
          <t>Spend</t>
        </is>
      </c>
      <c r="C5" s="90" t="inlineStr">
        <is>
          <t>Impressions</t>
        </is>
      </c>
      <c r="D5" s="90" t="inlineStr">
        <is>
          <t>CPM</t>
        </is>
      </c>
      <c r="E5" s="90" t="inlineStr">
        <is>
          <t>CTR</t>
        </is>
      </c>
      <c r="F5" s="90" t="inlineStr">
        <is>
          <t>Clicks</t>
        </is>
      </c>
      <c r="G5" s="90" t="inlineStr">
        <is>
          <t>CPC</t>
        </is>
      </c>
      <c r="H5" s="90" t="inlineStr">
        <is>
          <t>Orders</t>
        </is>
      </c>
      <c r="I5" s="90" t="inlineStr">
        <is>
          <t>CVR</t>
        </is>
      </c>
      <c r="J5" s="90" t="inlineStr">
        <is>
          <t>CPA</t>
        </is>
      </c>
      <c r="K5" s="90" t="inlineStr">
        <is>
          <t>AOV</t>
        </is>
      </c>
      <c r="L5" s="90" t="inlineStr">
        <is>
          <t>Sales</t>
        </is>
      </c>
      <c r="M5" s="90" t="inlineStr">
        <is>
          <t>ACOS</t>
        </is>
      </c>
      <c r="N5" s="90" t="inlineStr">
        <is>
          <t>ROAS</t>
        </is>
      </c>
      <c r="O5" s="90" t="inlineStr">
        <is>
          <t>Share</t>
        </is>
      </c>
    </row>
    <row r="6">
      <c r="A6" s="91" t="inlineStr">
        <is>
          <t>Sponsored Products</t>
        </is>
      </c>
      <c r="B6" s="92">
        <f>$B$2*O6</f>
        <v/>
      </c>
      <c r="C6" s="93">
        <f>F6/E6</f>
        <v/>
      </c>
      <c r="D6" s="94">
        <f>B6/C6*1000</f>
        <v/>
      </c>
      <c r="E6" s="95" t="n">
        <v>0.004</v>
      </c>
      <c r="F6" s="93">
        <f>B6/G6</f>
        <v/>
      </c>
      <c r="G6" s="96" t="n">
        <v>12</v>
      </c>
      <c r="H6" s="93">
        <f>F6*I6</f>
        <v/>
      </c>
      <c r="I6" s="97" t="n">
        <v>0.08</v>
      </c>
      <c r="J6" s="94">
        <f>B6/H6</f>
        <v/>
      </c>
      <c r="K6" s="92">
        <f>AOV</f>
        <v/>
      </c>
      <c r="L6" s="92">
        <f>H6*K6</f>
        <v/>
      </c>
      <c r="M6" s="98">
        <f>B6/L6</f>
        <v/>
      </c>
      <c r="N6" s="99">
        <f>L6/B6</f>
        <v/>
      </c>
      <c r="O6" s="100" t="n">
        <v>0.55</v>
      </c>
    </row>
    <row r="7">
      <c r="A7" s="91" t="inlineStr">
        <is>
          <t>Sponsored Brands</t>
        </is>
      </c>
      <c r="B7" s="92">
        <f>$B$2*O7</f>
        <v/>
      </c>
      <c r="C7" s="93">
        <f>F7/E7</f>
        <v/>
      </c>
      <c r="D7" s="94">
        <f>B7/C7*1000</f>
        <v/>
      </c>
      <c r="E7" s="95" t="n">
        <v>0.005</v>
      </c>
      <c r="F7" s="93">
        <f>B7/G7</f>
        <v/>
      </c>
      <c r="G7" s="96" t="n">
        <v>15</v>
      </c>
      <c r="H7" s="93">
        <f>F7*I7</f>
        <v/>
      </c>
      <c r="I7" s="97" t="n">
        <v>0.1</v>
      </c>
      <c r="J7" s="94">
        <f>B7/H7</f>
        <v/>
      </c>
      <c r="K7" s="92">
        <f>AOV</f>
        <v/>
      </c>
      <c r="L7" s="92">
        <f>H7*K7</f>
        <v/>
      </c>
      <c r="M7" s="98">
        <f>B7/L7</f>
        <v/>
      </c>
      <c r="N7" s="99">
        <f>L7/B7</f>
        <v/>
      </c>
      <c r="O7" s="100" t="n">
        <v>0.27</v>
      </c>
    </row>
    <row r="8">
      <c r="A8" s="91" t="inlineStr">
        <is>
          <t>Sponsored Display</t>
        </is>
      </c>
      <c r="B8" s="92">
        <f>$B$2*O8</f>
        <v/>
      </c>
      <c r="C8" s="93">
        <f>F8/E8</f>
        <v/>
      </c>
      <c r="D8" s="94">
        <f>B8/C8*1000</f>
        <v/>
      </c>
      <c r="E8" s="95" t="n">
        <v>0.0025</v>
      </c>
      <c r="F8" s="93">
        <f>B8/G8</f>
        <v/>
      </c>
      <c r="G8" s="96" t="n">
        <v>9</v>
      </c>
      <c r="H8" s="93">
        <f>F8*I8</f>
        <v/>
      </c>
      <c r="I8" s="97" t="n">
        <v>0.06</v>
      </c>
      <c r="J8" s="94">
        <f>B8/H8</f>
        <v/>
      </c>
      <c r="K8" s="92">
        <f>AOV</f>
        <v/>
      </c>
      <c r="L8" s="92">
        <f>H8*K8</f>
        <v/>
      </c>
      <c r="M8" s="98">
        <f>B8/L8</f>
        <v/>
      </c>
      <c r="N8" s="99">
        <f>L8/B8</f>
        <v/>
      </c>
      <c r="O8" s="100" t="n">
        <v>0.18</v>
      </c>
    </row>
    <row r="9">
      <c r="A9" s="84" t="inlineStr">
        <is>
          <t>Total</t>
        </is>
      </c>
      <c r="B9" s="85">
        <f>SUM(B6:B8)</f>
        <v/>
      </c>
      <c r="C9" s="101">
        <f>SUM(C6:C8)</f>
        <v/>
      </c>
      <c r="D9" s="102">
        <f>B9/C9*1000</f>
        <v/>
      </c>
      <c r="E9" s="103">
        <f>F9/C9</f>
        <v/>
      </c>
      <c r="F9" s="101">
        <f>SUM(F6:F8)</f>
        <v/>
      </c>
      <c r="G9" s="104">
        <f>B9/F9</f>
        <v/>
      </c>
      <c r="H9" s="101">
        <f>SUM(H6:H8)</f>
        <v/>
      </c>
      <c r="I9" s="105">
        <f>H9/F9</f>
        <v/>
      </c>
      <c r="J9" s="102">
        <f>B9/H9</f>
        <v/>
      </c>
      <c r="K9" s="85">
        <f>L9/H9</f>
        <v/>
      </c>
      <c r="L9" s="85">
        <f>SUM(L6:L8)</f>
        <v/>
      </c>
      <c r="M9" s="105">
        <f>B9/L9</f>
        <v/>
      </c>
      <c r="N9" s="106">
        <f>L9/B9</f>
        <v/>
      </c>
      <c r="O9" s="107">
        <f>SUM(O6:O8)</f>
        <v/>
      </c>
    </row>
    <row r="11">
      <c r="A11" s="87" t="inlineStr">
        <is>
          <t>B. SP campaigns</t>
        </is>
      </c>
      <c r="B11" s="88" t="n"/>
      <c r="C11" s="88" t="n"/>
      <c r="D11" s="88" t="n"/>
      <c r="E11" s="88" t="n"/>
      <c r="F11" s="88" t="n"/>
      <c r="G11" s="88" t="n"/>
      <c r="H11" s="88" t="n"/>
      <c r="I11" s="88" t="n"/>
      <c r="J11" s="88" t="n"/>
      <c r="K11" s="88" t="n"/>
      <c r="L11" s="88" t="n"/>
      <c r="M11" s="88" t="n"/>
      <c r="N11" s="88" t="n"/>
      <c r="O11" s="88" t="n"/>
      <c r="P11" s="89" t="n"/>
    </row>
    <row r="12">
      <c r="A12" s="90" t="inlineStr">
        <is>
          <t>Campaign</t>
        </is>
      </c>
      <c r="B12" s="90" t="inlineStr">
        <is>
          <t>Spend</t>
        </is>
      </c>
      <c r="C12" s="90" t="inlineStr">
        <is>
          <t>Impressions</t>
        </is>
      </c>
      <c r="D12" s="90" t="inlineStr">
        <is>
          <t>CPM</t>
        </is>
      </c>
      <c r="E12" s="90" t="inlineStr">
        <is>
          <t>CTR</t>
        </is>
      </c>
      <c r="F12" s="90" t="inlineStr">
        <is>
          <t>Clicks</t>
        </is>
      </c>
      <c r="G12" s="90" t="inlineStr">
        <is>
          <t>CPC</t>
        </is>
      </c>
      <c r="H12" s="90" t="inlineStr">
        <is>
          <t>Orders</t>
        </is>
      </c>
      <c r="I12" s="90" t="inlineStr">
        <is>
          <t>CVR</t>
        </is>
      </c>
      <c r="J12" s="90" t="inlineStr">
        <is>
          <t>CPA</t>
        </is>
      </c>
      <c r="K12" s="90" t="inlineStr">
        <is>
          <t>AOV</t>
        </is>
      </c>
      <c r="L12" s="90" t="inlineStr">
        <is>
          <t>Sales</t>
        </is>
      </c>
      <c r="M12" s="90" t="inlineStr">
        <is>
          <t>ACOS</t>
        </is>
      </c>
      <c r="N12" s="90" t="inlineStr">
        <is>
          <t>ROAS</t>
        </is>
      </c>
      <c r="O12" s="90" t="inlineStr">
        <is>
          <t>Share in SP</t>
        </is>
      </c>
      <c r="P12" s="90" t="inlineStr">
        <is>
          <t>Why</t>
        </is>
      </c>
    </row>
    <row r="13">
      <c r="A13" s="91" t="inlineStr">
        <is>
          <t>SP/ChettinadChicken/Auto</t>
        </is>
      </c>
      <c r="B13" s="92">
        <f>$B$6*O13</f>
        <v/>
      </c>
      <c r="C13" s="93">
        <f>F13/E13</f>
        <v/>
      </c>
      <c r="D13" s="94">
        <f>B13/C13*1000</f>
        <v/>
      </c>
      <c r="E13" s="108">
        <f>$E$6</f>
        <v/>
      </c>
      <c r="F13" s="93">
        <f>B13/G13</f>
        <v/>
      </c>
      <c r="G13" s="109">
        <f>$G$6</f>
        <v/>
      </c>
      <c r="H13" s="93">
        <f>F13*I13</f>
        <v/>
      </c>
      <c r="I13" s="110">
        <f>$I$6</f>
        <v/>
      </c>
      <c r="J13" s="94">
        <f>B13/H13</f>
        <v/>
      </c>
      <c r="K13" s="92">
        <f>AOV</f>
        <v/>
      </c>
      <c r="L13" s="92">
        <f>H13*K13</f>
        <v/>
      </c>
      <c r="M13" s="98">
        <f>B13/L13</f>
        <v/>
      </c>
      <c r="N13" s="99">
        <f>L13/B13</f>
        <v/>
      </c>
      <c r="O13" s="100" t="n">
        <v>0.12</v>
      </c>
      <c r="P13" s="91" t="inlineStr">
        <is>
          <t>Cut: winners moved to Exact</t>
        </is>
      </c>
    </row>
    <row r="14">
      <c r="A14" s="91" t="inlineStr">
        <is>
          <t>SP/ChettinadChicken/Brand KWs/Exact</t>
        </is>
      </c>
      <c r="B14" s="92">
        <f>$B$6*O14</f>
        <v/>
      </c>
      <c r="C14" s="93">
        <f>F14/E14</f>
        <v/>
      </c>
      <c r="D14" s="94">
        <f>B14/C14*1000</f>
        <v/>
      </c>
      <c r="E14" s="108">
        <f>$E$6</f>
        <v/>
      </c>
      <c r="F14" s="93">
        <f>B14/G14</f>
        <v/>
      </c>
      <c r="G14" s="109">
        <f>$G$6</f>
        <v/>
      </c>
      <c r="H14" s="93">
        <f>F14*I14</f>
        <v/>
      </c>
      <c r="I14" s="110">
        <f>$I$6</f>
        <v/>
      </c>
      <c r="J14" s="94">
        <f>B14/H14</f>
        <v/>
      </c>
      <c r="K14" s="92">
        <f>AOV</f>
        <v/>
      </c>
      <c r="L14" s="92">
        <f>H14*K14</f>
        <v/>
      </c>
      <c r="M14" s="98">
        <f>B14/L14</f>
        <v/>
      </c>
      <c r="N14" s="99">
        <f>L14/B14</f>
        <v/>
      </c>
      <c r="O14" s="100" t="n">
        <v>0.06</v>
      </c>
      <c r="P14" s="91" t="inlineStr"/>
    </row>
    <row r="15">
      <c r="A15" s="91" t="inlineStr">
        <is>
          <t>SP/ChettinadChicken/Brand KWs/Phrase</t>
        </is>
      </c>
      <c r="B15" s="92">
        <f>$B$6*O15</f>
        <v/>
      </c>
      <c r="C15" s="93">
        <f>F15/E15</f>
        <v/>
      </c>
      <c r="D15" s="94">
        <f>B15/C15*1000</f>
        <v/>
      </c>
      <c r="E15" s="108">
        <f>$E$6</f>
        <v/>
      </c>
      <c r="F15" s="93">
        <f>B15/G15</f>
        <v/>
      </c>
      <c r="G15" s="109">
        <f>$G$6</f>
        <v/>
      </c>
      <c r="H15" s="93">
        <f>F15*I15</f>
        <v/>
      </c>
      <c r="I15" s="110">
        <f>$I$6</f>
        <v/>
      </c>
      <c r="J15" s="94">
        <f>B15/H15</f>
        <v/>
      </c>
      <c r="K15" s="92">
        <f>AOV</f>
        <v/>
      </c>
      <c r="L15" s="92">
        <f>H15*K15</f>
        <v/>
      </c>
      <c r="M15" s="98">
        <f>B15/L15</f>
        <v/>
      </c>
      <c r="N15" s="99">
        <f>L15/B15</f>
        <v/>
      </c>
      <c r="O15" s="100" t="n">
        <v>0.04</v>
      </c>
      <c r="P15" s="91" t="inlineStr"/>
    </row>
    <row r="16">
      <c r="A16" s="91" t="inlineStr">
        <is>
          <t>SP/ChettinadChicken/Brand KWs/Broad</t>
        </is>
      </c>
      <c r="B16" s="92">
        <f>$B$6*O16</f>
        <v/>
      </c>
      <c r="C16" s="93">
        <f>F16/E16</f>
        <v/>
      </c>
      <c r="D16" s="94">
        <f>B16/C16*1000</f>
        <v/>
      </c>
      <c r="E16" s="108">
        <f>$E$6</f>
        <v/>
      </c>
      <c r="F16" s="93">
        <f>B16/G16</f>
        <v/>
      </c>
      <c r="G16" s="109">
        <f>$G$6</f>
        <v/>
      </c>
      <c r="H16" s="93">
        <f>F16*I16</f>
        <v/>
      </c>
      <c r="I16" s="110">
        <f>$I$6</f>
        <v/>
      </c>
      <c r="J16" s="94">
        <f>B16/H16</f>
        <v/>
      </c>
      <c r="K16" s="92">
        <f>AOV</f>
        <v/>
      </c>
      <c r="L16" s="92">
        <f>H16*K16</f>
        <v/>
      </c>
      <c r="M16" s="98">
        <f>B16/L16</f>
        <v/>
      </c>
      <c r="N16" s="99">
        <f>L16/B16</f>
        <v/>
      </c>
      <c r="O16" s="100" t="n">
        <v>0.02</v>
      </c>
      <c r="P16" s="91" t="inlineStr"/>
    </row>
    <row r="17">
      <c r="A17" s="91" t="inlineStr">
        <is>
          <t>SP/ChettinadChicken/Generic KWs/Exact</t>
        </is>
      </c>
      <c r="B17" s="92">
        <f>$B$6*O17</f>
        <v/>
      </c>
      <c r="C17" s="93">
        <f>F17/E17</f>
        <v/>
      </c>
      <c r="D17" s="94">
        <f>B17/C17*1000</f>
        <v/>
      </c>
      <c r="E17" s="108">
        <f>$E$6</f>
        <v/>
      </c>
      <c r="F17" s="93">
        <f>B17/G17</f>
        <v/>
      </c>
      <c r="G17" s="109">
        <f>$G$6</f>
        <v/>
      </c>
      <c r="H17" s="93">
        <f>F17*I17</f>
        <v/>
      </c>
      <c r="I17" s="110">
        <f>$I$6</f>
        <v/>
      </c>
      <c r="J17" s="94">
        <f>B17/H17</f>
        <v/>
      </c>
      <c r="K17" s="92">
        <f>AOV</f>
        <v/>
      </c>
      <c r="L17" s="92">
        <f>H17*K17</f>
        <v/>
      </c>
      <c r="M17" s="98">
        <f>B17/L17</f>
        <v/>
      </c>
      <c r="N17" s="99">
        <f>L17/B17</f>
        <v/>
      </c>
      <c r="O17" s="100" t="n">
        <v>0.22</v>
      </c>
      <c r="P17" s="91" t="inlineStr">
        <is>
          <t>Scale proven keywords</t>
        </is>
      </c>
    </row>
    <row r="18">
      <c r="A18" s="91" t="inlineStr">
        <is>
          <t>SP/ChettinadChicken/Generic KWs/Phrase</t>
        </is>
      </c>
      <c r="B18" s="92">
        <f>$B$6*O18</f>
        <v/>
      </c>
      <c r="C18" s="93">
        <f>F18/E18</f>
        <v/>
      </c>
      <c r="D18" s="94">
        <f>B18/C18*1000</f>
        <v/>
      </c>
      <c r="E18" s="108">
        <f>$E$6</f>
        <v/>
      </c>
      <c r="F18" s="93">
        <f>B18/G18</f>
        <v/>
      </c>
      <c r="G18" s="109">
        <f>$G$6</f>
        <v/>
      </c>
      <c r="H18" s="93">
        <f>F18*I18</f>
        <v/>
      </c>
      <c r="I18" s="110">
        <f>$I$6</f>
        <v/>
      </c>
      <c r="J18" s="94">
        <f>B18/H18</f>
        <v/>
      </c>
      <c r="K18" s="92">
        <f>AOV</f>
        <v/>
      </c>
      <c r="L18" s="92">
        <f>H18*K18</f>
        <v/>
      </c>
      <c r="M18" s="98">
        <f>B18/L18</f>
        <v/>
      </c>
      <c r="N18" s="99">
        <f>L18/B18</f>
        <v/>
      </c>
      <c r="O18" s="100" t="n">
        <v>0.14</v>
      </c>
      <c r="P18" s="91" t="inlineStr"/>
    </row>
    <row r="19">
      <c r="A19" s="91" t="inlineStr">
        <is>
          <t>SP/ChettinadChicken/Generic KWs/Broad</t>
        </is>
      </c>
      <c r="B19" s="92">
        <f>$B$6*O19</f>
        <v/>
      </c>
      <c r="C19" s="93">
        <f>F19/E19</f>
        <v/>
      </c>
      <c r="D19" s="94">
        <f>B19/C19*1000</f>
        <v/>
      </c>
      <c r="E19" s="108">
        <f>$E$6</f>
        <v/>
      </c>
      <c r="F19" s="93">
        <f>B19/G19</f>
        <v/>
      </c>
      <c r="G19" s="109">
        <f>$G$6</f>
        <v/>
      </c>
      <c r="H19" s="93">
        <f>F19*I19</f>
        <v/>
      </c>
      <c r="I19" s="110">
        <f>$I$6</f>
        <v/>
      </c>
      <c r="J19" s="94">
        <f>B19/H19</f>
        <v/>
      </c>
      <c r="K19" s="92">
        <f>AOV</f>
        <v/>
      </c>
      <c r="L19" s="92">
        <f>H19*K19</f>
        <v/>
      </c>
      <c r="M19" s="98">
        <f>B19/L19</f>
        <v/>
      </c>
      <c r="N19" s="99">
        <f>L19/B19</f>
        <v/>
      </c>
      <c r="O19" s="100" t="n">
        <v>0.06</v>
      </c>
      <c r="P19" s="91" t="inlineStr"/>
    </row>
    <row r="20">
      <c r="A20" s="91" t="inlineStr">
        <is>
          <t>SP/ChettinadChicken/Comp KWs/Exact</t>
        </is>
      </c>
      <c r="B20" s="92">
        <f>$B$6*O20</f>
        <v/>
      </c>
      <c r="C20" s="93">
        <f>F20/E20</f>
        <v/>
      </c>
      <c r="D20" s="94">
        <f>B20/C20*1000</f>
        <v/>
      </c>
      <c r="E20" s="108">
        <f>$E$6</f>
        <v/>
      </c>
      <c r="F20" s="93">
        <f>B20/G20</f>
        <v/>
      </c>
      <c r="G20" s="109">
        <f>$G$6</f>
        <v/>
      </c>
      <c r="H20" s="93">
        <f>F20*I20</f>
        <v/>
      </c>
      <c r="I20" s="110">
        <f>$I$6</f>
        <v/>
      </c>
      <c r="J20" s="94">
        <f>B20/H20</f>
        <v/>
      </c>
      <c r="K20" s="92">
        <f>AOV</f>
        <v/>
      </c>
      <c r="L20" s="92">
        <f>H20*K20</f>
        <v/>
      </c>
      <c r="M20" s="98">
        <f>B20/L20</f>
        <v/>
      </c>
      <c r="N20" s="99">
        <f>L20/B20</f>
        <v/>
      </c>
      <c r="O20" s="100" t="n">
        <v>0.09</v>
      </c>
      <c r="P20" s="91" t="inlineStr"/>
    </row>
    <row r="21">
      <c r="A21" s="91" t="inlineStr">
        <is>
          <t>SP/ChettinadChicken/Comp KWs/Phrase</t>
        </is>
      </c>
      <c r="B21" s="92">
        <f>$B$6*O21</f>
        <v/>
      </c>
      <c r="C21" s="93">
        <f>F21/E21</f>
        <v/>
      </c>
      <c r="D21" s="94">
        <f>B21/C21*1000</f>
        <v/>
      </c>
      <c r="E21" s="108">
        <f>$E$6</f>
        <v/>
      </c>
      <c r="F21" s="93">
        <f>B21/G21</f>
        <v/>
      </c>
      <c r="G21" s="109">
        <f>$G$6</f>
        <v/>
      </c>
      <c r="H21" s="93">
        <f>F21*I21</f>
        <v/>
      </c>
      <c r="I21" s="110">
        <f>$I$6</f>
        <v/>
      </c>
      <c r="J21" s="94">
        <f>B21/H21</f>
        <v/>
      </c>
      <c r="K21" s="92">
        <f>AOV</f>
        <v/>
      </c>
      <c r="L21" s="92">
        <f>H21*K21</f>
        <v/>
      </c>
      <c r="M21" s="98">
        <f>B21/L21</f>
        <v/>
      </c>
      <c r="N21" s="99">
        <f>L21/B21</f>
        <v/>
      </c>
      <c r="O21" s="100" t="n">
        <v>0.06</v>
      </c>
      <c r="P21" s="91" t="inlineStr"/>
    </row>
    <row r="22">
      <c r="A22" s="91" t="inlineStr">
        <is>
          <t>SP/ChettinadChicken/Comp KWs/Broad</t>
        </is>
      </c>
      <c r="B22" s="92">
        <f>$B$6*O22</f>
        <v/>
      </c>
      <c r="C22" s="93">
        <f>F22/E22</f>
        <v/>
      </c>
      <c r="D22" s="94">
        <f>B22/C22*1000</f>
        <v/>
      </c>
      <c r="E22" s="108">
        <f>$E$6</f>
        <v/>
      </c>
      <c r="F22" s="93">
        <f>B22/G22</f>
        <v/>
      </c>
      <c r="G22" s="109">
        <f>$G$6</f>
        <v/>
      </c>
      <c r="H22" s="93">
        <f>F22*I22</f>
        <v/>
      </c>
      <c r="I22" s="110">
        <f>$I$6</f>
        <v/>
      </c>
      <c r="J22" s="94">
        <f>B22/H22</f>
        <v/>
      </c>
      <c r="K22" s="92">
        <f>AOV</f>
        <v/>
      </c>
      <c r="L22" s="92">
        <f>H22*K22</f>
        <v/>
      </c>
      <c r="M22" s="98">
        <f>B22/L22</f>
        <v/>
      </c>
      <c r="N22" s="99">
        <f>L22/B22</f>
        <v/>
      </c>
      <c r="O22" s="100" t="n">
        <v>0.03</v>
      </c>
      <c r="P22" s="91" t="inlineStr"/>
    </row>
    <row r="23">
      <c r="A23" s="91" t="inlineStr">
        <is>
          <t>SP/ChettinadChicken/CT</t>
        </is>
      </c>
      <c r="B23" s="92">
        <f>$B$6*O23</f>
        <v/>
      </c>
      <c r="C23" s="93">
        <f>F23/E23</f>
        <v/>
      </c>
      <c r="D23" s="94">
        <f>B23/C23*1000</f>
        <v/>
      </c>
      <c r="E23" s="108">
        <f>$E$6</f>
        <v/>
      </c>
      <c r="F23" s="93">
        <f>B23/G23</f>
        <v/>
      </c>
      <c r="G23" s="109">
        <f>$G$6</f>
        <v/>
      </c>
      <c r="H23" s="93">
        <f>F23*I23</f>
        <v/>
      </c>
      <c r="I23" s="110">
        <f>$I$6</f>
        <v/>
      </c>
      <c r="J23" s="94">
        <f>B23/H23</f>
        <v/>
      </c>
      <c r="K23" s="92">
        <f>AOV</f>
        <v/>
      </c>
      <c r="L23" s="92">
        <f>H23*K23</f>
        <v/>
      </c>
      <c r="M23" s="98">
        <f>B23/L23</f>
        <v/>
      </c>
      <c r="N23" s="99">
        <f>L23/B23</f>
        <v/>
      </c>
      <c r="O23" s="100" t="n">
        <v>0.05</v>
      </c>
      <c r="P23" s="91" t="inlineStr"/>
    </row>
    <row r="24">
      <c r="A24" s="91" t="inlineStr">
        <is>
          <t>SP/ChettinadChicken/IP/CompTar</t>
        </is>
      </c>
      <c r="B24" s="92">
        <f>$B$6*O24</f>
        <v/>
      </c>
      <c r="C24" s="93">
        <f>F24/E24</f>
        <v/>
      </c>
      <c r="D24" s="94">
        <f>B24/C24*1000</f>
        <v/>
      </c>
      <c r="E24" s="108">
        <f>$E$6</f>
        <v/>
      </c>
      <c r="F24" s="93">
        <f>B24/G24</f>
        <v/>
      </c>
      <c r="G24" s="109">
        <f>$G$6</f>
        <v/>
      </c>
      <c r="H24" s="93">
        <f>F24*I24</f>
        <v/>
      </c>
      <c r="I24" s="110">
        <f>$I$6</f>
        <v/>
      </c>
      <c r="J24" s="94">
        <f>B24/H24</f>
        <v/>
      </c>
      <c r="K24" s="92">
        <f>AOV</f>
        <v/>
      </c>
      <c r="L24" s="92">
        <f>H24*K24</f>
        <v/>
      </c>
      <c r="M24" s="98">
        <f>B24/L24</f>
        <v/>
      </c>
      <c r="N24" s="99">
        <f>L24/B24</f>
        <v/>
      </c>
      <c r="O24" s="100" t="n">
        <v>0.08</v>
      </c>
      <c r="P24" s="91" t="inlineStr">
        <is>
          <t>More on comp pages that converted</t>
        </is>
      </c>
    </row>
    <row r="25">
      <c r="A25" s="91" t="inlineStr">
        <is>
          <t>SP/ChettinadChicken/IP/BrandTar</t>
        </is>
      </c>
      <c r="B25" s="92">
        <f>$B$6*O25</f>
        <v/>
      </c>
      <c r="C25" s="93">
        <f>F25/E25</f>
        <v/>
      </c>
      <c r="D25" s="94">
        <f>B25/C25*1000</f>
        <v/>
      </c>
      <c r="E25" s="108">
        <f>$E$6</f>
        <v/>
      </c>
      <c r="F25" s="93">
        <f>B25/G25</f>
        <v/>
      </c>
      <c r="G25" s="109">
        <f>$G$6</f>
        <v/>
      </c>
      <c r="H25" s="93">
        <f>F25*I25</f>
        <v/>
      </c>
      <c r="I25" s="110">
        <f>$I$6</f>
        <v/>
      </c>
      <c r="J25" s="94">
        <f>B25/H25</f>
        <v/>
      </c>
      <c r="K25" s="92">
        <f>AOV</f>
        <v/>
      </c>
      <c r="L25" s="92">
        <f>H25*K25</f>
        <v/>
      </c>
      <c r="M25" s="98">
        <f>B25/L25</f>
        <v/>
      </c>
      <c r="N25" s="99">
        <f>L25/B25</f>
        <v/>
      </c>
      <c r="O25" s="100" t="n">
        <v>0.03</v>
      </c>
      <c r="P25" s="91" t="inlineStr"/>
    </row>
    <row r="26">
      <c r="A26" s="84" t="inlineStr">
        <is>
          <t>Total SP</t>
        </is>
      </c>
      <c r="B26" s="85">
        <f>SUM(B13:B25)</f>
        <v/>
      </c>
      <c r="C26" s="101">
        <f>SUM(C13:C25)</f>
        <v/>
      </c>
      <c r="D26" s="102">
        <f>B26/C26*1000</f>
        <v/>
      </c>
      <c r="E26" s="103">
        <f>F26/C26</f>
        <v/>
      </c>
      <c r="F26" s="101">
        <f>SUM(F13:F25)</f>
        <v/>
      </c>
      <c r="G26" s="104">
        <f>B26/F26</f>
        <v/>
      </c>
      <c r="H26" s="101">
        <f>SUM(H13:H25)</f>
        <v/>
      </c>
      <c r="I26" s="105">
        <f>H26/F26</f>
        <v/>
      </c>
      <c r="J26" s="102">
        <f>B26/H26</f>
        <v/>
      </c>
      <c r="K26" s="85">
        <f>L26/H26</f>
        <v/>
      </c>
      <c r="L26" s="85">
        <f>SUM(L13:L25)</f>
        <v/>
      </c>
      <c r="M26" s="105">
        <f>B26/L26</f>
        <v/>
      </c>
      <c r="N26" s="106">
        <f>L26/B26</f>
        <v/>
      </c>
      <c r="O26" s="107">
        <f>SUM(O13:O25)</f>
        <v/>
      </c>
      <c r="P26" s="111" t="inlineStr"/>
    </row>
    <row r="28">
      <c r="A28" s="87" t="inlineStr">
        <is>
          <t>B. SB campaigns</t>
        </is>
      </c>
      <c r="B28" s="88" t="n"/>
      <c r="C28" s="88" t="n"/>
      <c r="D28" s="88" t="n"/>
      <c r="E28" s="88" t="n"/>
      <c r="F28" s="88" t="n"/>
      <c r="G28" s="88" t="n"/>
      <c r="H28" s="88" t="n"/>
      <c r="I28" s="88" t="n"/>
      <c r="J28" s="88" t="n"/>
      <c r="K28" s="88" t="n"/>
      <c r="L28" s="88" t="n"/>
      <c r="M28" s="88" t="n"/>
      <c r="N28" s="88" t="n"/>
      <c r="O28" s="88" t="n"/>
      <c r="P28" s="89" t="n"/>
    </row>
    <row r="29">
      <c r="A29" s="90" t="inlineStr">
        <is>
          <t>Campaign</t>
        </is>
      </c>
      <c r="B29" s="90" t="inlineStr">
        <is>
          <t>Spend</t>
        </is>
      </c>
      <c r="C29" s="90" t="inlineStr">
        <is>
          <t>Impressions</t>
        </is>
      </c>
      <c r="D29" s="90" t="inlineStr">
        <is>
          <t>CPM</t>
        </is>
      </c>
      <c r="E29" s="90" t="inlineStr">
        <is>
          <t>CTR</t>
        </is>
      </c>
      <c r="F29" s="90" t="inlineStr">
        <is>
          <t>Clicks</t>
        </is>
      </c>
      <c r="G29" s="90" t="inlineStr">
        <is>
          <t>CPC</t>
        </is>
      </c>
      <c r="H29" s="90" t="inlineStr">
        <is>
          <t>Orders</t>
        </is>
      </c>
      <c r="I29" s="90" t="inlineStr">
        <is>
          <t>CVR</t>
        </is>
      </c>
      <c r="J29" s="90" t="inlineStr">
        <is>
          <t>CPA</t>
        </is>
      </c>
      <c r="K29" s="90" t="inlineStr">
        <is>
          <t>AOV</t>
        </is>
      </c>
      <c r="L29" s="90" t="inlineStr">
        <is>
          <t>Sales</t>
        </is>
      </c>
      <c r="M29" s="90" t="inlineStr">
        <is>
          <t>ACOS</t>
        </is>
      </c>
      <c r="N29" s="90" t="inlineStr">
        <is>
          <t>ROAS</t>
        </is>
      </c>
      <c r="O29" s="90" t="inlineStr">
        <is>
          <t>Share in SB</t>
        </is>
      </c>
      <c r="P29" s="90" t="inlineStr">
        <is>
          <t>Why</t>
        </is>
      </c>
    </row>
    <row r="30">
      <c r="A30" s="91" t="inlineStr">
        <is>
          <t>SB Brand – Product Collection (Combo-3)</t>
        </is>
      </c>
      <c r="B30" s="92">
        <f>$B$7*O30</f>
        <v/>
      </c>
      <c r="C30" s="93">
        <f>F30/E30</f>
        <v/>
      </c>
      <c r="D30" s="94">
        <f>B30/C30*1000</f>
        <v/>
      </c>
      <c r="E30" s="108">
        <f>$E$7</f>
        <v/>
      </c>
      <c r="F30" s="93">
        <f>B30/G30</f>
        <v/>
      </c>
      <c r="G30" s="109">
        <f>$G$7</f>
        <v/>
      </c>
      <c r="H30" s="93">
        <f>F30*I30</f>
        <v/>
      </c>
      <c r="I30" s="110">
        <f>$I$7</f>
        <v/>
      </c>
      <c r="J30" s="94">
        <f>B30/H30</f>
        <v/>
      </c>
      <c r="K30" s="92">
        <f>AOV</f>
        <v/>
      </c>
      <c r="L30" s="92">
        <f>H30*K30</f>
        <v/>
      </c>
      <c r="M30" s="98">
        <f>B30/L30</f>
        <v/>
      </c>
      <c r="N30" s="99">
        <f>L30/B30</f>
        <v/>
      </c>
      <c r="O30" s="100" t="n">
        <v>0.2</v>
      </c>
      <c r="P30" s="91" t="inlineStr">
        <is>
          <t>NEW: deck says SB Brand starts M3, sells combo</t>
        </is>
      </c>
    </row>
    <row r="31">
      <c r="A31" s="91" t="inlineStr">
        <is>
          <t>SB/Video/Brand kws-Exact</t>
        </is>
      </c>
      <c r="B31" s="92">
        <f>$B$7*O31</f>
        <v/>
      </c>
      <c r="C31" s="93">
        <f>F31/E31</f>
        <v/>
      </c>
      <c r="D31" s="94">
        <f>B31/C31*1000</f>
        <v/>
      </c>
      <c r="E31" s="108">
        <f>$E$7</f>
        <v/>
      </c>
      <c r="F31" s="93">
        <f>B31/G31</f>
        <v/>
      </c>
      <c r="G31" s="109">
        <f>$G$7</f>
        <v/>
      </c>
      <c r="H31" s="93">
        <f>F31*I31</f>
        <v/>
      </c>
      <c r="I31" s="110">
        <f>$I$7</f>
        <v/>
      </c>
      <c r="J31" s="94">
        <f>B31/H31</f>
        <v/>
      </c>
      <c r="K31" s="92">
        <f>AOV</f>
        <v/>
      </c>
      <c r="L31" s="92">
        <f>H31*K31</f>
        <v/>
      </c>
      <c r="M31" s="98">
        <f>B31/L31</f>
        <v/>
      </c>
      <c r="N31" s="99">
        <f>L31/B31</f>
        <v/>
      </c>
      <c r="O31" s="100" t="n">
        <v>0.12</v>
      </c>
      <c r="P31" s="91" t="inlineStr"/>
    </row>
    <row r="32">
      <c r="A32" s="91" t="inlineStr">
        <is>
          <t>SB/Video/Brand kws-Phrase</t>
        </is>
      </c>
      <c r="B32" s="92">
        <f>$B$7*O32</f>
        <v/>
      </c>
      <c r="C32" s="93">
        <f>F32/E32</f>
        <v/>
      </c>
      <c r="D32" s="94">
        <f>B32/C32*1000</f>
        <v/>
      </c>
      <c r="E32" s="108">
        <f>$E$7</f>
        <v/>
      </c>
      <c r="F32" s="93">
        <f>B32/G32</f>
        <v/>
      </c>
      <c r="G32" s="109">
        <f>$G$7</f>
        <v/>
      </c>
      <c r="H32" s="93">
        <f>F32*I32</f>
        <v/>
      </c>
      <c r="I32" s="110">
        <f>$I$7</f>
        <v/>
      </c>
      <c r="J32" s="94">
        <f>B32/H32</f>
        <v/>
      </c>
      <c r="K32" s="92">
        <f>AOV</f>
        <v/>
      </c>
      <c r="L32" s="92">
        <f>H32*K32</f>
        <v/>
      </c>
      <c r="M32" s="98">
        <f>B32/L32</f>
        <v/>
      </c>
      <c r="N32" s="99">
        <f>L32/B32</f>
        <v/>
      </c>
      <c r="O32" s="100" t="n">
        <v>0.08</v>
      </c>
      <c r="P32" s="91" t="inlineStr"/>
    </row>
    <row r="33">
      <c r="A33" s="91" t="inlineStr">
        <is>
          <t>SB/Video/Generic Chettinad kws-Exact</t>
        </is>
      </c>
      <c r="B33" s="92">
        <f>$B$7*O33</f>
        <v/>
      </c>
      <c r="C33" s="93">
        <f>F33/E33</f>
        <v/>
      </c>
      <c r="D33" s="94">
        <f>B33/C33*1000</f>
        <v/>
      </c>
      <c r="E33" s="108">
        <f>$E$7</f>
        <v/>
      </c>
      <c r="F33" s="93">
        <f>B33/G33</f>
        <v/>
      </c>
      <c r="G33" s="109">
        <f>$G$7</f>
        <v/>
      </c>
      <c r="H33" s="93">
        <f>F33*I33</f>
        <v/>
      </c>
      <c r="I33" s="110">
        <f>$I$7</f>
        <v/>
      </c>
      <c r="J33" s="94">
        <f>B33/H33</f>
        <v/>
      </c>
      <c r="K33" s="92">
        <f>AOV</f>
        <v/>
      </c>
      <c r="L33" s="92">
        <f>H33*K33</f>
        <v/>
      </c>
      <c r="M33" s="98">
        <f>B33/L33</f>
        <v/>
      </c>
      <c r="N33" s="99">
        <f>L33/B33</f>
        <v/>
      </c>
      <c r="O33" s="100" t="n">
        <v>0.25</v>
      </c>
      <c r="P33" s="91" t="inlineStr"/>
    </row>
    <row r="34">
      <c r="A34" s="91" t="inlineStr">
        <is>
          <t>SB/Video/Generic Chettinad kws-Phrase</t>
        </is>
      </c>
      <c r="B34" s="92">
        <f>$B$7*O34</f>
        <v/>
      </c>
      <c r="C34" s="93">
        <f>F34/E34</f>
        <v/>
      </c>
      <c r="D34" s="94">
        <f>B34/C34*1000</f>
        <v/>
      </c>
      <c r="E34" s="108">
        <f>$E$7</f>
        <v/>
      </c>
      <c r="F34" s="93">
        <f>B34/G34</f>
        <v/>
      </c>
      <c r="G34" s="109">
        <f>$G$7</f>
        <v/>
      </c>
      <c r="H34" s="93">
        <f>F34*I34</f>
        <v/>
      </c>
      <c r="I34" s="110">
        <f>$I$7</f>
        <v/>
      </c>
      <c r="J34" s="94">
        <f>B34/H34</f>
        <v/>
      </c>
      <c r="K34" s="92">
        <f>AOV</f>
        <v/>
      </c>
      <c r="L34" s="92">
        <f>H34*K34</f>
        <v/>
      </c>
      <c r="M34" s="98">
        <f>B34/L34</f>
        <v/>
      </c>
      <c r="N34" s="99">
        <f>L34/B34</f>
        <v/>
      </c>
      <c r="O34" s="100" t="n">
        <v>0.15</v>
      </c>
      <c r="P34" s="91" t="inlineStr"/>
    </row>
    <row r="35">
      <c r="A35" s="91" t="inlineStr">
        <is>
          <t>SB/Video/Comp kws-Exact</t>
        </is>
      </c>
      <c r="B35" s="92">
        <f>$B$7*O35</f>
        <v/>
      </c>
      <c r="C35" s="93">
        <f>F35/E35</f>
        <v/>
      </c>
      <c r="D35" s="94">
        <f>B35/C35*1000</f>
        <v/>
      </c>
      <c r="E35" s="108">
        <f>$E$7</f>
        <v/>
      </c>
      <c r="F35" s="93">
        <f>B35/G35</f>
        <v/>
      </c>
      <c r="G35" s="109">
        <f>$G$7</f>
        <v/>
      </c>
      <c r="H35" s="93">
        <f>F35*I35</f>
        <v/>
      </c>
      <c r="I35" s="110">
        <f>$I$7</f>
        <v/>
      </c>
      <c r="J35" s="94">
        <f>B35/H35</f>
        <v/>
      </c>
      <c r="K35" s="92">
        <f>AOV</f>
        <v/>
      </c>
      <c r="L35" s="92">
        <f>H35*K35</f>
        <v/>
      </c>
      <c r="M35" s="98">
        <f>B35/L35</f>
        <v/>
      </c>
      <c r="N35" s="99">
        <f>L35/B35</f>
        <v/>
      </c>
      <c r="O35" s="100" t="n">
        <v>0.12</v>
      </c>
      <c r="P35" s="91" t="inlineStr"/>
    </row>
    <row r="36">
      <c r="A36" s="91" t="inlineStr">
        <is>
          <t>SB/Video/Comp kws-Phrase</t>
        </is>
      </c>
      <c r="B36" s="92">
        <f>$B$7*O36</f>
        <v/>
      </c>
      <c r="C36" s="93">
        <f>F36/E36</f>
        <v/>
      </c>
      <c r="D36" s="94">
        <f>B36/C36*1000</f>
        <v/>
      </c>
      <c r="E36" s="108">
        <f>$E$7</f>
        <v/>
      </c>
      <c r="F36" s="93">
        <f>B36/G36</f>
        <v/>
      </c>
      <c r="G36" s="109">
        <f>$G$7</f>
        <v/>
      </c>
      <c r="H36" s="93">
        <f>F36*I36</f>
        <v/>
      </c>
      <c r="I36" s="110">
        <f>$I$7</f>
        <v/>
      </c>
      <c r="J36" s="94">
        <f>B36/H36</f>
        <v/>
      </c>
      <c r="K36" s="92">
        <f>AOV</f>
        <v/>
      </c>
      <c r="L36" s="92">
        <f>H36*K36</f>
        <v/>
      </c>
      <c r="M36" s="98">
        <f>B36/L36</f>
        <v/>
      </c>
      <c r="N36" s="99">
        <f>L36/B36</f>
        <v/>
      </c>
      <c r="O36" s="100" t="n">
        <v>0.08</v>
      </c>
      <c r="P36" s="91" t="inlineStr"/>
    </row>
    <row r="37">
      <c r="A37" s="84" t="inlineStr">
        <is>
          <t>Total SB</t>
        </is>
      </c>
      <c r="B37" s="85">
        <f>SUM(B30:B36)</f>
        <v/>
      </c>
      <c r="C37" s="101">
        <f>SUM(C30:C36)</f>
        <v/>
      </c>
      <c r="D37" s="102">
        <f>B37/C37*1000</f>
        <v/>
      </c>
      <c r="E37" s="103">
        <f>F37/C37</f>
        <v/>
      </c>
      <c r="F37" s="101">
        <f>SUM(F30:F36)</f>
        <v/>
      </c>
      <c r="G37" s="104">
        <f>B37/F37</f>
        <v/>
      </c>
      <c r="H37" s="101">
        <f>SUM(H30:H36)</f>
        <v/>
      </c>
      <c r="I37" s="105">
        <f>H37/F37</f>
        <v/>
      </c>
      <c r="J37" s="102">
        <f>B37/H37</f>
        <v/>
      </c>
      <c r="K37" s="85">
        <f>L37/H37</f>
        <v/>
      </c>
      <c r="L37" s="85">
        <f>SUM(L30:L36)</f>
        <v/>
      </c>
      <c r="M37" s="105">
        <f>B37/L37</f>
        <v/>
      </c>
      <c r="N37" s="106">
        <f>L37/B37</f>
        <v/>
      </c>
      <c r="O37" s="107">
        <f>SUM(O30:O36)</f>
        <v/>
      </c>
      <c r="P37" s="111" t="inlineStr"/>
    </row>
    <row r="39">
      <c r="A39" s="87" t="inlineStr">
        <is>
          <t>B. SD campaigns</t>
        </is>
      </c>
      <c r="B39" s="88" t="n"/>
      <c r="C39" s="88" t="n"/>
      <c r="D39" s="88" t="n"/>
      <c r="E39" s="88" t="n"/>
      <c r="F39" s="88" t="n"/>
      <c r="G39" s="88" t="n"/>
      <c r="H39" s="88" t="n"/>
      <c r="I39" s="88" t="n"/>
      <c r="J39" s="88" t="n"/>
      <c r="K39" s="88" t="n"/>
      <c r="L39" s="88" t="n"/>
      <c r="M39" s="88" t="n"/>
      <c r="N39" s="88" t="n"/>
      <c r="O39" s="88" t="n"/>
      <c r="P39" s="89" t="n"/>
    </row>
    <row r="40">
      <c r="A40" s="90" t="inlineStr">
        <is>
          <t>Campaign</t>
        </is>
      </c>
      <c r="B40" s="90" t="inlineStr">
        <is>
          <t>Spend</t>
        </is>
      </c>
      <c r="C40" s="90" t="inlineStr">
        <is>
          <t>Impressions</t>
        </is>
      </c>
      <c r="D40" s="90" t="inlineStr">
        <is>
          <t>CPM</t>
        </is>
      </c>
      <c r="E40" s="90" t="inlineStr">
        <is>
          <t>CTR</t>
        </is>
      </c>
      <c r="F40" s="90" t="inlineStr">
        <is>
          <t>Clicks</t>
        </is>
      </c>
      <c r="G40" s="90" t="inlineStr">
        <is>
          <t>CPC</t>
        </is>
      </c>
      <c r="H40" s="90" t="inlineStr">
        <is>
          <t>Orders</t>
        </is>
      </c>
      <c r="I40" s="90" t="inlineStr">
        <is>
          <t>CVR</t>
        </is>
      </c>
      <c r="J40" s="90" t="inlineStr">
        <is>
          <t>CPA</t>
        </is>
      </c>
      <c r="K40" s="90" t="inlineStr">
        <is>
          <t>AOV</t>
        </is>
      </c>
      <c r="L40" s="90" t="inlineStr">
        <is>
          <t>Sales</t>
        </is>
      </c>
      <c r="M40" s="90" t="inlineStr">
        <is>
          <t>ACOS</t>
        </is>
      </c>
      <c r="N40" s="90" t="inlineStr">
        <is>
          <t>ROAS</t>
        </is>
      </c>
      <c r="O40" s="90" t="inlineStr">
        <is>
          <t>Share in SD</t>
        </is>
      </c>
      <c r="P40" s="90" t="inlineStr">
        <is>
          <t>Why</t>
        </is>
      </c>
    </row>
    <row r="41">
      <c r="A41" s="91" t="inlineStr">
        <is>
          <t>SD/Remarketing/Views</t>
        </is>
      </c>
      <c r="B41" s="92">
        <f>$B$8*O41</f>
        <v/>
      </c>
      <c r="C41" s="93">
        <f>F41/E41</f>
        <v/>
      </c>
      <c r="D41" s="94">
        <f>B41/C41*1000</f>
        <v/>
      </c>
      <c r="E41" s="108">
        <f>$E$8</f>
        <v/>
      </c>
      <c r="F41" s="93">
        <f>B41/G41</f>
        <v/>
      </c>
      <c r="G41" s="109">
        <f>$G$8</f>
        <v/>
      </c>
      <c r="H41" s="93">
        <f>F41*I41</f>
        <v/>
      </c>
      <c r="I41" s="110">
        <f>$I$8</f>
        <v/>
      </c>
      <c r="J41" s="94">
        <f>B41/H41</f>
        <v/>
      </c>
      <c r="K41" s="92">
        <f>AOV</f>
        <v/>
      </c>
      <c r="L41" s="92">
        <f>H41*K41</f>
        <v/>
      </c>
      <c r="M41" s="98">
        <f>B41/L41</f>
        <v/>
      </c>
      <c r="N41" s="99">
        <f>L41/B41</f>
        <v/>
      </c>
      <c r="O41" s="100" t="n">
        <v>0.4</v>
      </c>
      <c r="P41" s="91" t="inlineStr">
        <is>
          <t>Bigger viewer pool now</t>
        </is>
      </c>
    </row>
    <row r="42">
      <c r="A42" s="91" t="inlineStr">
        <is>
          <t>SD/Remarketing/Purchases</t>
        </is>
      </c>
      <c r="B42" s="92">
        <f>$B$8*O42</f>
        <v/>
      </c>
      <c r="C42" s="93">
        <f>F42/E42</f>
        <v/>
      </c>
      <c r="D42" s="94">
        <f>B42/C42*1000</f>
        <v/>
      </c>
      <c r="E42" s="108">
        <f>$E$8</f>
        <v/>
      </c>
      <c r="F42" s="93">
        <f>B42/G42</f>
        <v/>
      </c>
      <c r="G42" s="109">
        <f>$G$8</f>
        <v/>
      </c>
      <c r="H42" s="93">
        <f>F42*I42</f>
        <v/>
      </c>
      <c r="I42" s="110">
        <f>$I$8</f>
        <v/>
      </c>
      <c r="J42" s="94">
        <f>B42/H42</f>
        <v/>
      </c>
      <c r="K42" s="92">
        <f>AOV</f>
        <v/>
      </c>
      <c r="L42" s="92">
        <f>H42*K42</f>
        <v/>
      </c>
      <c r="M42" s="98">
        <f>B42/L42</f>
        <v/>
      </c>
      <c r="N42" s="99">
        <f>L42/B42</f>
        <v/>
      </c>
      <c r="O42" s="100" t="n">
        <v>0.1</v>
      </c>
      <c r="P42" s="91" t="inlineStr">
        <is>
          <t>NEW: first buyers to rebuy</t>
        </is>
      </c>
    </row>
    <row r="43">
      <c r="A43" s="91" t="inlineStr">
        <is>
          <t>SD/Contextual/IP-Comp</t>
        </is>
      </c>
      <c r="B43" s="92">
        <f>$B$8*O43</f>
        <v/>
      </c>
      <c r="C43" s="93">
        <f>F43/E43</f>
        <v/>
      </c>
      <c r="D43" s="94">
        <f>B43/C43*1000</f>
        <v/>
      </c>
      <c r="E43" s="108">
        <f>$E$8</f>
        <v/>
      </c>
      <c r="F43" s="93">
        <f>B43/G43</f>
        <v/>
      </c>
      <c r="G43" s="109">
        <f>$G$8</f>
        <v/>
      </c>
      <c r="H43" s="93">
        <f>F43*I43</f>
        <v/>
      </c>
      <c r="I43" s="110">
        <f>$I$8</f>
        <v/>
      </c>
      <c r="J43" s="94">
        <f>B43/H43</f>
        <v/>
      </c>
      <c r="K43" s="92">
        <f>AOV</f>
        <v/>
      </c>
      <c r="L43" s="92">
        <f>H43*K43</f>
        <v/>
      </c>
      <c r="M43" s="98">
        <f>B43/L43</f>
        <v/>
      </c>
      <c r="N43" s="99">
        <f>L43/B43</f>
        <v/>
      </c>
      <c r="O43" s="100" t="n">
        <v>0.2</v>
      </c>
      <c r="P43" s="91" t="inlineStr"/>
    </row>
    <row r="44">
      <c r="A44" s="91" t="inlineStr">
        <is>
          <t>SD/Contextual/CT</t>
        </is>
      </c>
      <c r="B44" s="92">
        <f>$B$8*O44</f>
        <v/>
      </c>
      <c r="C44" s="93">
        <f>F44/E44</f>
        <v/>
      </c>
      <c r="D44" s="94">
        <f>B44/C44*1000</f>
        <v/>
      </c>
      <c r="E44" s="108">
        <f>$E$8</f>
        <v/>
      </c>
      <c r="F44" s="93">
        <f>B44/G44</f>
        <v/>
      </c>
      <c r="G44" s="109">
        <f>$G$8</f>
        <v/>
      </c>
      <c r="H44" s="93">
        <f>F44*I44</f>
        <v/>
      </c>
      <c r="I44" s="110">
        <f>$I$8</f>
        <v/>
      </c>
      <c r="J44" s="94">
        <f>B44/H44</f>
        <v/>
      </c>
      <c r="K44" s="92">
        <f>AOV</f>
        <v/>
      </c>
      <c r="L44" s="92">
        <f>H44*K44</f>
        <v/>
      </c>
      <c r="M44" s="98">
        <f>B44/L44</f>
        <v/>
      </c>
      <c r="N44" s="99">
        <f>L44/B44</f>
        <v/>
      </c>
      <c r="O44" s="100" t="n">
        <v>0.1</v>
      </c>
      <c r="P44" s="91" t="inlineStr"/>
    </row>
    <row r="45">
      <c r="A45" s="91" t="inlineStr">
        <is>
          <t>SD/Inmarketing</t>
        </is>
      </c>
      <c r="B45" s="92">
        <f>$B$8*O45</f>
        <v/>
      </c>
      <c r="C45" s="93">
        <f>F45/E45</f>
        <v/>
      </c>
      <c r="D45" s="94">
        <f>B45/C45*1000</f>
        <v/>
      </c>
      <c r="E45" s="108">
        <f>$E$8</f>
        <v/>
      </c>
      <c r="F45" s="93">
        <f>B45/G45</f>
        <v/>
      </c>
      <c r="G45" s="109">
        <f>$G$8</f>
        <v/>
      </c>
      <c r="H45" s="93">
        <f>F45*I45</f>
        <v/>
      </c>
      <c r="I45" s="110">
        <f>$I$8</f>
        <v/>
      </c>
      <c r="J45" s="94">
        <f>B45/H45</f>
        <v/>
      </c>
      <c r="K45" s="92">
        <f>AOV</f>
        <v/>
      </c>
      <c r="L45" s="92">
        <f>H45*K45</f>
        <v/>
      </c>
      <c r="M45" s="98">
        <f>B45/L45</f>
        <v/>
      </c>
      <c r="N45" s="99">
        <f>L45/B45</f>
        <v/>
      </c>
      <c r="O45" s="100" t="n">
        <v>0.15</v>
      </c>
      <c r="P45" s="91" t="inlineStr">
        <is>
          <t>NEW: shoppers buying spices/pastes</t>
        </is>
      </c>
    </row>
    <row r="46">
      <c r="A46" s="91" t="inlineStr">
        <is>
          <t>SD/Contextual/IP-Brand</t>
        </is>
      </c>
      <c r="B46" s="92">
        <f>$B$8*O46</f>
        <v/>
      </c>
      <c r="C46" s="93">
        <f>F46/E46</f>
        <v/>
      </c>
      <c r="D46" s="94">
        <f>B46/C46*1000</f>
        <v/>
      </c>
      <c r="E46" s="108">
        <f>$E$8</f>
        <v/>
      </c>
      <c r="F46" s="93">
        <f>B46/G46</f>
        <v/>
      </c>
      <c r="G46" s="109">
        <f>$G$8</f>
        <v/>
      </c>
      <c r="H46" s="93">
        <f>F46*I46</f>
        <v/>
      </c>
      <c r="I46" s="110">
        <f>$I$8</f>
        <v/>
      </c>
      <c r="J46" s="94">
        <f>B46/H46</f>
        <v/>
      </c>
      <c r="K46" s="92">
        <f>AOV</f>
        <v/>
      </c>
      <c r="L46" s="92">
        <f>H46*K46</f>
        <v/>
      </c>
      <c r="M46" s="98">
        <f>B46/L46</f>
        <v/>
      </c>
      <c r="N46" s="99">
        <f>L46/B46</f>
        <v/>
      </c>
      <c r="O46" s="100" t="n">
        <v>0.05</v>
      </c>
      <c r="P46" s="91" t="inlineStr"/>
    </row>
    <row r="47">
      <c r="A47" s="84" t="inlineStr">
        <is>
          <t>Total SD</t>
        </is>
      </c>
      <c r="B47" s="85">
        <f>SUM(B41:B46)</f>
        <v/>
      </c>
      <c r="C47" s="101">
        <f>SUM(C41:C46)</f>
        <v/>
      </c>
      <c r="D47" s="102">
        <f>B47/C47*1000</f>
        <v/>
      </c>
      <c r="E47" s="103">
        <f>F47/C47</f>
        <v/>
      </c>
      <c r="F47" s="101">
        <f>SUM(F41:F46)</f>
        <v/>
      </c>
      <c r="G47" s="104">
        <f>B47/F47</f>
        <v/>
      </c>
      <c r="H47" s="101">
        <f>SUM(H41:H46)</f>
        <v/>
      </c>
      <c r="I47" s="105">
        <f>H47/F47</f>
        <v/>
      </c>
      <c r="J47" s="102">
        <f>B47/H47</f>
        <v/>
      </c>
      <c r="K47" s="85">
        <f>L47/H47</f>
        <v/>
      </c>
      <c r="L47" s="85">
        <f>SUM(L41:L46)</f>
        <v/>
      </c>
      <c r="M47" s="105">
        <f>B47/L47</f>
        <v/>
      </c>
      <c r="N47" s="106">
        <f>L47/B47</f>
        <v/>
      </c>
      <c r="O47" s="107">
        <f>SUM(O41:O46)</f>
        <v/>
      </c>
      <c r="P47" s="111" t="inlineStr"/>
    </row>
  </sheetData>
  <mergeCells count="6">
    <mergeCell ref="A11:P11"/>
    <mergeCell ref="A28:P28"/>
    <mergeCell ref="A1:O1"/>
    <mergeCell ref="A39:P39"/>
    <mergeCell ref="A4:O4"/>
    <mergeCell ref="C2:O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7" customWidth="1" min="4" max="4"/>
    <col width="7" customWidth="1" min="5" max="5"/>
    <col width="9" customWidth="1" min="6" max="6"/>
    <col width="7" customWidth="1" min="7" max="7"/>
    <col width="8" customWidth="1" min="8" max="8"/>
    <col width="7" customWidth="1" min="9" max="9"/>
    <col width="7" customWidth="1" min="10" max="10"/>
    <col width="8" customWidth="1" min="11" max="11"/>
    <col width="12" customWidth="1" min="12" max="12"/>
    <col width="8" customWidth="1" min="13" max="13"/>
    <col width="7" customWidth="1" min="14" max="14"/>
    <col width="10" customWidth="1" min="15" max="15"/>
    <col width="40" customWidth="1" min="16" max="16"/>
  </cols>
  <sheetData>
    <row r="1">
      <c r="A1" s="83" t="inlineStr">
        <is>
          <t>Month 5 &amp; 6 – Hit ₹10L a month</t>
        </is>
      </c>
    </row>
    <row r="2">
      <c r="A2" s="84" t="inlineStr">
        <is>
          <t>Phase budget (2 months, from Media Planning)</t>
        </is>
      </c>
      <c r="B2" s="85">
        <f>'Media Planning'!C9+'Media Planning'!C10</f>
        <v/>
      </c>
      <c r="C2" s="86" t="inlineStr">
        <is>
          <t>Yellow = input (share / benchmark). Everything else is a formula: Clicks = Spend ÷ CPC, Impressions = Clicks ÷ CTR, Orders = Clicks × CVR, Sales = Orders × AOV ₹450.</t>
        </is>
      </c>
    </row>
    <row r="4">
      <c r="A4" s="87" t="inlineStr">
        <is>
          <t>A. Split by ad type</t>
        </is>
      </c>
      <c r="B4" s="88" t="n"/>
      <c r="C4" s="88" t="n"/>
      <c r="D4" s="88" t="n"/>
      <c r="E4" s="88" t="n"/>
      <c r="F4" s="88" t="n"/>
      <c r="G4" s="88" t="n"/>
      <c r="H4" s="88" t="n"/>
      <c r="I4" s="88" t="n"/>
      <c r="J4" s="88" t="n"/>
      <c r="K4" s="88" t="n"/>
      <c r="L4" s="88" t="n"/>
      <c r="M4" s="88" t="n"/>
      <c r="N4" s="88" t="n"/>
      <c r="O4" s="89" t="n"/>
    </row>
    <row r="5">
      <c r="A5" s="90" t="inlineStr">
        <is>
          <t>Ad type</t>
        </is>
      </c>
      <c r="B5" s="90" t="inlineStr">
        <is>
          <t>Spend</t>
        </is>
      </c>
      <c r="C5" s="90" t="inlineStr">
        <is>
          <t>Impressions</t>
        </is>
      </c>
      <c r="D5" s="90" t="inlineStr">
        <is>
          <t>CPM</t>
        </is>
      </c>
      <c r="E5" s="90" t="inlineStr">
        <is>
          <t>CTR</t>
        </is>
      </c>
      <c r="F5" s="90" t="inlineStr">
        <is>
          <t>Clicks</t>
        </is>
      </c>
      <c r="G5" s="90" t="inlineStr">
        <is>
          <t>CPC</t>
        </is>
      </c>
      <c r="H5" s="90" t="inlineStr">
        <is>
          <t>Orders</t>
        </is>
      </c>
      <c r="I5" s="90" t="inlineStr">
        <is>
          <t>CVR</t>
        </is>
      </c>
      <c r="J5" s="90" t="inlineStr">
        <is>
          <t>CPA</t>
        </is>
      </c>
      <c r="K5" s="90" t="inlineStr">
        <is>
          <t>AOV</t>
        </is>
      </c>
      <c r="L5" s="90" t="inlineStr">
        <is>
          <t>Sales</t>
        </is>
      </c>
      <c r="M5" s="90" t="inlineStr">
        <is>
          <t>ACOS</t>
        </is>
      </c>
      <c r="N5" s="90" t="inlineStr">
        <is>
          <t>ROAS</t>
        </is>
      </c>
      <c r="O5" s="90" t="inlineStr">
        <is>
          <t>Share</t>
        </is>
      </c>
    </row>
    <row r="6">
      <c r="A6" s="91" t="inlineStr">
        <is>
          <t>Sponsored Products</t>
        </is>
      </c>
      <c r="B6" s="92">
        <f>$B$2*O6</f>
        <v/>
      </c>
      <c r="C6" s="93">
        <f>F6/E6</f>
        <v/>
      </c>
      <c r="D6" s="94">
        <f>B6/C6*1000</f>
        <v/>
      </c>
      <c r="E6" s="95" t="n">
        <v>0.004</v>
      </c>
      <c r="F6" s="93">
        <f>B6/G6</f>
        <v/>
      </c>
      <c r="G6" s="96" t="n">
        <v>12</v>
      </c>
      <c r="H6" s="93">
        <f>F6*I6</f>
        <v/>
      </c>
      <c r="I6" s="97" t="n">
        <v>0.08</v>
      </c>
      <c r="J6" s="94">
        <f>B6/H6</f>
        <v/>
      </c>
      <c r="K6" s="92">
        <f>AOV</f>
        <v/>
      </c>
      <c r="L6" s="92">
        <f>H6*K6</f>
        <v/>
      </c>
      <c r="M6" s="98">
        <f>B6/L6</f>
        <v/>
      </c>
      <c r="N6" s="99">
        <f>L6/B6</f>
        <v/>
      </c>
      <c r="O6" s="100" t="n">
        <v>0.5</v>
      </c>
    </row>
    <row r="7">
      <c r="A7" s="91" t="inlineStr">
        <is>
          <t>Sponsored Brands</t>
        </is>
      </c>
      <c r="B7" s="92">
        <f>$B$2*O7</f>
        <v/>
      </c>
      <c r="C7" s="93">
        <f>F7/E7</f>
        <v/>
      </c>
      <c r="D7" s="94">
        <f>B7/C7*1000</f>
        <v/>
      </c>
      <c r="E7" s="95" t="n">
        <v>0.005</v>
      </c>
      <c r="F7" s="93">
        <f>B7/G7</f>
        <v/>
      </c>
      <c r="G7" s="96" t="n">
        <v>15</v>
      </c>
      <c r="H7" s="93">
        <f>F7*I7</f>
        <v/>
      </c>
      <c r="I7" s="97" t="n">
        <v>0.1</v>
      </c>
      <c r="J7" s="94">
        <f>B7/H7</f>
        <v/>
      </c>
      <c r="K7" s="92">
        <f>AOV</f>
        <v/>
      </c>
      <c r="L7" s="92">
        <f>H7*K7</f>
        <v/>
      </c>
      <c r="M7" s="98">
        <f>B7/L7</f>
        <v/>
      </c>
      <c r="N7" s="99">
        <f>L7/B7</f>
        <v/>
      </c>
      <c r="O7" s="100" t="n">
        <v>0.28</v>
      </c>
    </row>
    <row r="8">
      <c r="A8" s="91" t="inlineStr">
        <is>
          <t>Sponsored Display</t>
        </is>
      </c>
      <c r="B8" s="92">
        <f>$B$2*O8</f>
        <v/>
      </c>
      <c r="C8" s="93">
        <f>F8/E8</f>
        <v/>
      </c>
      <c r="D8" s="94">
        <f>B8/C8*1000</f>
        <v/>
      </c>
      <c r="E8" s="95" t="n">
        <v>0.0025</v>
      </c>
      <c r="F8" s="93">
        <f>B8/G8</f>
        <v/>
      </c>
      <c r="G8" s="96" t="n">
        <v>9</v>
      </c>
      <c r="H8" s="93">
        <f>F8*I8</f>
        <v/>
      </c>
      <c r="I8" s="97" t="n">
        <v>0.06</v>
      </c>
      <c r="J8" s="94">
        <f>B8/H8</f>
        <v/>
      </c>
      <c r="K8" s="92">
        <f>AOV</f>
        <v/>
      </c>
      <c r="L8" s="92">
        <f>H8*K8</f>
        <v/>
      </c>
      <c r="M8" s="98">
        <f>B8/L8</f>
        <v/>
      </c>
      <c r="N8" s="99">
        <f>L8/B8</f>
        <v/>
      </c>
      <c r="O8" s="100" t="n">
        <v>0.22</v>
      </c>
    </row>
    <row r="9">
      <c r="A9" s="84" t="inlineStr">
        <is>
          <t>Total</t>
        </is>
      </c>
      <c r="B9" s="85">
        <f>SUM(B6:B8)</f>
        <v/>
      </c>
      <c r="C9" s="101">
        <f>SUM(C6:C8)</f>
        <v/>
      </c>
      <c r="D9" s="102">
        <f>B9/C9*1000</f>
        <v/>
      </c>
      <c r="E9" s="103">
        <f>F9/C9</f>
        <v/>
      </c>
      <c r="F9" s="101">
        <f>SUM(F6:F8)</f>
        <v/>
      </c>
      <c r="G9" s="104">
        <f>B9/F9</f>
        <v/>
      </c>
      <c r="H9" s="101">
        <f>SUM(H6:H8)</f>
        <v/>
      </c>
      <c r="I9" s="105">
        <f>H9/F9</f>
        <v/>
      </c>
      <c r="J9" s="102">
        <f>B9/H9</f>
        <v/>
      </c>
      <c r="K9" s="85">
        <f>L9/H9</f>
        <v/>
      </c>
      <c r="L9" s="85">
        <f>SUM(L6:L8)</f>
        <v/>
      </c>
      <c r="M9" s="105">
        <f>B9/L9</f>
        <v/>
      </c>
      <c r="N9" s="106">
        <f>L9/B9</f>
        <v/>
      </c>
      <c r="O9" s="107">
        <f>SUM(O6:O8)</f>
        <v/>
      </c>
    </row>
    <row r="11">
      <c r="A11" s="87" t="inlineStr">
        <is>
          <t>B. SP campaigns</t>
        </is>
      </c>
      <c r="B11" s="88" t="n"/>
      <c r="C11" s="88" t="n"/>
      <c r="D11" s="88" t="n"/>
      <c r="E11" s="88" t="n"/>
      <c r="F11" s="88" t="n"/>
      <c r="G11" s="88" t="n"/>
      <c r="H11" s="88" t="n"/>
      <c r="I11" s="88" t="n"/>
      <c r="J11" s="88" t="n"/>
      <c r="K11" s="88" t="n"/>
      <c r="L11" s="88" t="n"/>
      <c r="M11" s="88" t="n"/>
      <c r="N11" s="88" t="n"/>
      <c r="O11" s="88" t="n"/>
      <c r="P11" s="89" t="n"/>
    </row>
    <row r="12">
      <c r="A12" s="90" t="inlineStr">
        <is>
          <t>Campaign</t>
        </is>
      </c>
      <c r="B12" s="90" t="inlineStr">
        <is>
          <t>Spend</t>
        </is>
      </c>
      <c r="C12" s="90" t="inlineStr">
        <is>
          <t>Impressions</t>
        </is>
      </c>
      <c r="D12" s="90" t="inlineStr">
        <is>
          <t>CPM</t>
        </is>
      </c>
      <c r="E12" s="90" t="inlineStr">
        <is>
          <t>CTR</t>
        </is>
      </c>
      <c r="F12" s="90" t="inlineStr">
        <is>
          <t>Clicks</t>
        </is>
      </c>
      <c r="G12" s="90" t="inlineStr">
        <is>
          <t>CPC</t>
        </is>
      </c>
      <c r="H12" s="90" t="inlineStr">
        <is>
          <t>Orders</t>
        </is>
      </c>
      <c r="I12" s="90" t="inlineStr">
        <is>
          <t>CVR</t>
        </is>
      </c>
      <c r="J12" s="90" t="inlineStr">
        <is>
          <t>CPA</t>
        </is>
      </c>
      <c r="K12" s="90" t="inlineStr">
        <is>
          <t>AOV</t>
        </is>
      </c>
      <c r="L12" s="90" t="inlineStr">
        <is>
          <t>Sales</t>
        </is>
      </c>
      <c r="M12" s="90" t="inlineStr">
        <is>
          <t>ACOS</t>
        </is>
      </c>
      <c r="N12" s="90" t="inlineStr">
        <is>
          <t>ROAS</t>
        </is>
      </c>
      <c r="O12" s="90" t="inlineStr">
        <is>
          <t>Share in SP</t>
        </is>
      </c>
      <c r="P12" s="90" t="inlineStr">
        <is>
          <t>Why</t>
        </is>
      </c>
    </row>
    <row r="13">
      <c r="A13" s="91" t="inlineStr">
        <is>
          <t>SP/ChettinadChicken/Auto</t>
        </is>
      </c>
      <c r="B13" s="92">
        <f>$B$6*O13</f>
        <v/>
      </c>
      <c r="C13" s="93">
        <f>F13/E13</f>
        <v/>
      </c>
      <c r="D13" s="94">
        <f>B13/C13*1000</f>
        <v/>
      </c>
      <c r="E13" s="108">
        <f>$E$6</f>
        <v/>
      </c>
      <c r="F13" s="93">
        <f>B13/G13</f>
        <v/>
      </c>
      <c r="G13" s="109">
        <f>$G$6</f>
        <v/>
      </c>
      <c r="H13" s="93">
        <f>F13*I13</f>
        <v/>
      </c>
      <c r="I13" s="110">
        <f>$I$6</f>
        <v/>
      </c>
      <c r="J13" s="94">
        <f>B13/H13</f>
        <v/>
      </c>
      <c r="K13" s="92">
        <f>AOV</f>
        <v/>
      </c>
      <c r="L13" s="92">
        <f>H13*K13</f>
        <v/>
      </c>
      <c r="M13" s="98">
        <f>B13/L13</f>
        <v/>
      </c>
      <c r="N13" s="99">
        <f>L13/B13</f>
        <v/>
      </c>
      <c r="O13" s="100" t="n">
        <v>0.08</v>
      </c>
      <c r="P13" s="91" t="inlineStr">
        <is>
          <t>Tighten, do not expand</t>
        </is>
      </c>
    </row>
    <row r="14">
      <c r="A14" s="91" t="inlineStr">
        <is>
          <t>SP/ChettinadChicken/Brand KWs/Exact</t>
        </is>
      </c>
      <c r="B14" s="92">
        <f>$B$6*O14</f>
        <v/>
      </c>
      <c r="C14" s="93">
        <f>F14/E14</f>
        <v/>
      </c>
      <c r="D14" s="94">
        <f>B14/C14*1000</f>
        <v/>
      </c>
      <c r="E14" s="108">
        <f>$E$6</f>
        <v/>
      </c>
      <c r="F14" s="93">
        <f>B14/G14</f>
        <v/>
      </c>
      <c r="G14" s="109">
        <f>$G$6</f>
        <v/>
      </c>
      <c r="H14" s="93">
        <f>F14*I14</f>
        <v/>
      </c>
      <c r="I14" s="110">
        <f>$I$6</f>
        <v/>
      </c>
      <c r="J14" s="94">
        <f>B14/H14</f>
        <v/>
      </c>
      <c r="K14" s="92">
        <f>AOV</f>
        <v/>
      </c>
      <c r="L14" s="92">
        <f>H14*K14</f>
        <v/>
      </c>
      <c r="M14" s="98">
        <f>B14/L14</f>
        <v/>
      </c>
      <c r="N14" s="99">
        <f>L14/B14</f>
        <v/>
      </c>
      <c r="O14" s="100" t="n">
        <v>0.07000000000000001</v>
      </c>
      <c r="P14" s="91" t="inlineStr">
        <is>
          <t>Protect brand at top of search</t>
        </is>
      </c>
    </row>
    <row r="15">
      <c r="A15" s="91" t="inlineStr">
        <is>
          <t>SP/ChettinadChicken/Brand KWs/Phrase</t>
        </is>
      </c>
      <c r="B15" s="92">
        <f>$B$6*O15</f>
        <v/>
      </c>
      <c r="C15" s="93">
        <f>F15/E15</f>
        <v/>
      </c>
      <c r="D15" s="94">
        <f>B15/C15*1000</f>
        <v/>
      </c>
      <c r="E15" s="108">
        <f>$E$6</f>
        <v/>
      </c>
      <c r="F15" s="93">
        <f>B15/G15</f>
        <v/>
      </c>
      <c r="G15" s="109">
        <f>$G$6</f>
        <v/>
      </c>
      <c r="H15" s="93">
        <f>F15*I15</f>
        <v/>
      </c>
      <c r="I15" s="110">
        <f>$I$6</f>
        <v/>
      </c>
      <c r="J15" s="94">
        <f>B15/H15</f>
        <v/>
      </c>
      <c r="K15" s="92">
        <f>AOV</f>
        <v/>
      </c>
      <c r="L15" s="92">
        <f>H15*K15</f>
        <v/>
      </c>
      <c r="M15" s="98">
        <f>B15/L15</f>
        <v/>
      </c>
      <c r="N15" s="99">
        <f>L15/B15</f>
        <v/>
      </c>
      <c r="O15" s="100" t="n">
        <v>0.04</v>
      </c>
      <c r="P15" s="91" t="inlineStr"/>
    </row>
    <row r="16">
      <c r="A16" s="91" t="inlineStr">
        <is>
          <t>SP/ChettinadChicken/Brand KWs/Broad</t>
        </is>
      </c>
      <c r="B16" s="92">
        <f>$B$6*O16</f>
        <v/>
      </c>
      <c r="C16" s="93">
        <f>F16/E16</f>
        <v/>
      </c>
      <c r="D16" s="94">
        <f>B16/C16*1000</f>
        <v/>
      </c>
      <c r="E16" s="108">
        <f>$E$6</f>
        <v/>
      </c>
      <c r="F16" s="93">
        <f>B16/G16</f>
        <v/>
      </c>
      <c r="G16" s="109">
        <f>$G$6</f>
        <v/>
      </c>
      <c r="H16" s="93">
        <f>F16*I16</f>
        <v/>
      </c>
      <c r="I16" s="110">
        <f>$I$6</f>
        <v/>
      </c>
      <c r="J16" s="94">
        <f>B16/H16</f>
        <v/>
      </c>
      <c r="K16" s="92">
        <f>AOV</f>
        <v/>
      </c>
      <c r="L16" s="92">
        <f>H16*K16</f>
        <v/>
      </c>
      <c r="M16" s="98">
        <f>B16/L16</f>
        <v/>
      </c>
      <c r="N16" s="99">
        <f>L16/B16</f>
        <v/>
      </c>
      <c r="O16" s="100" t="n">
        <v>0.02</v>
      </c>
      <c r="P16" s="91" t="inlineStr"/>
    </row>
    <row r="17">
      <c r="A17" s="91" t="inlineStr">
        <is>
          <t>SP/ChettinadChicken/Generic KWs/Exact</t>
        </is>
      </c>
      <c r="B17" s="92">
        <f>$B$6*O17</f>
        <v/>
      </c>
      <c r="C17" s="93">
        <f>F17/E17</f>
        <v/>
      </c>
      <c r="D17" s="94">
        <f>B17/C17*1000</f>
        <v/>
      </c>
      <c r="E17" s="108">
        <f>$E$6</f>
        <v/>
      </c>
      <c r="F17" s="93">
        <f>B17/G17</f>
        <v/>
      </c>
      <c r="G17" s="109">
        <f>$G$6</f>
        <v/>
      </c>
      <c r="H17" s="93">
        <f>F17*I17</f>
        <v/>
      </c>
      <c r="I17" s="110">
        <f>$I$6</f>
        <v/>
      </c>
      <c r="J17" s="94">
        <f>B17/H17</f>
        <v/>
      </c>
      <c r="K17" s="92">
        <f>AOV</f>
        <v/>
      </c>
      <c r="L17" s="92">
        <f>H17*K17</f>
        <v/>
      </c>
      <c r="M17" s="98">
        <f>B17/L17</f>
        <v/>
      </c>
      <c r="N17" s="99">
        <f>L17/B17</f>
        <v/>
      </c>
      <c r="O17" s="100" t="n">
        <v>0.25</v>
      </c>
      <c r="P17" s="91" t="inlineStr">
        <is>
          <t>Most budget on proven Exact</t>
        </is>
      </c>
    </row>
    <row r="18">
      <c r="A18" s="91" t="inlineStr">
        <is>
          <t>SP/ChettinadChicken/Generic KWs/Phrase</t>
        </is>
      </c>
      <c r="B18" s="92">
        <f>$B$6*O18</f>
        <v/>
      </c>
      <c r="C18" s="93">
        <f>F18/E18</f>
        <v/>
      </c>
      <c r="D18" s="94">
        <f>B18/C18*1000</f>
        <v/>
      </c>
      <c r="E18" s="108">
        <f>$E$6</f>
        <v/>
      </c>
      <c r="F18" s="93">
        <f>B18/G18</f>
        <v/>
      </c>
      <c r="G18" s="109">
        <f>$G$6</f>
        <v/>
      </c>
      <c r="H18" s="93">
        <f>F18*I18</f>
        <v/>
      </c>
      <c r="I18" s="110">
        <f>$I$6</f>
        <v/>
      </c>
      <c r="J18" s="94">
        <f>B18/H18</f>
        <v/>
      </c>
      <c r="K18" s="92">
        <f>AOV</f>
        <v/>
      </c>
      <c r="L18" s="92">
        <f>H18*K18</f>
        <v/>
      </c>
      <c r="M18" s="98">
        <f>B18/L18</f>
        <v/>
      </c>
      <c r="N18" s="99">
        <f>L18/B18</f>
        <v/>
      </c>
      <c r="O18" s="100" t="n">
        <v>0.14</v>
      </c>
      <c r="P18" s="91" t="inlineStr"/>
    </row>
    <row r="19">
      <c r="A19" s="91" t="inlineStr">
        <is>
          <t>SP/ChettinadChicken/Generic KWs/Broad</t>
        </is>
      </c>
      <c r="B19" s="92">
        <f>$B$6*O19</f>
        <v/>
      </c>
      <c r="C19" s="93">
        <f>F19/E19</f>
        <v/>
      </c>
      <c r="D19" s="94">
        <f>B19/C19*1000</f>
        <v/>
      </c>
      <c r="E19" s="108">
        <f>$E$6</f>
        <v/>
      </c>
      <c r="F19" s="93">
        <f>B19/G19</f>
        <v/>
      </c>
      <c r="G19" s="109">
        <f>$G$6</f>
        <v/>
      </c>
      <c r="H19" s="93">
        <f>F19*I19</f>
        <v/>
      </c>
      <c r="I19" s="110">
        <f>$I$6</f>
        <v/>
      </c>
      <c r="J19" s="94">
        <f>B19/H19</f>
        <v/>
      </c>
      <c r="K19" s="92">
        <f>AOV</f>
        <v/>
      </c>
      <c r="L19" s="92">
        <f>H19*K19</f>
        <v/>
      </c>
      <c r="M19" s="98">
        <f>B19/L19</f>
        <v/>
      </c>
      <c r="N19" s="99">
        <f>L19/B19</f>
        <v/>
      </c>
      <c r="O19" s="100" t="n">
        <v>0.05</v>
      </c>
      <c r="P19" s="91" t="inlineStr"/>
    </row>
    <row r="20">
      <c r="A20" s="91" t="inlineStr">
        <is>
          <t>SP/ChettinadChicken/Comp KWs/Exact</t>
        </is>
      </c>
      <c r="B20" s="92">
        <f>$B$6*O20</f>
        <v/>
      </c>
      <c r="C20" s="93">
        <f>F20/E20</f>
        <v/>
      </c>
      <c r="D20" s="94">
        <f>B20/C20*1000</f>
        <v/>
      </c>
      <c r="E20" s="108">
        <f>$E$6</f>
        <v/>
      </c>
      <c r="F20" s="93">
        <f>B20/G20</f>
        <v/>
      </c>
      <c r="G20" s="109">
        <f>$G$6</f>
        <v/>
      </c>
      <c r="H20" s="93">
        <f>F20*I20</f>
        <v/>
      </c>
      <c r="I20" s="110">
        <f>$I$6</f>
        <v/>
      </c>
      <c r="J20" s="94">
        <f>B20/H20</f>
        <v/>
      </c>
      <c r="K20" s="92">
        <f>AOV</f>
        <v/>
      </c>
      <c r="L20" s="92">
        <f>H20*K20</f>
        <v/>
      </c>
      <c r="M20" s="98">
        <f>B20/L20</f>
        <v/>
      </c>
      <c r="N20" s="99">
        <f>L20/B20</f>
        <v/>
      </c>
      <c r="O20" s="100" t="n">
        <v>0.09</v>
      </c>
      <c r="P20" s="91" t="inlineStr"/>
    </row>
    <row r="21">
      <c r="A21" s="91" t="inlineStr">
        <is>
          <t>SP/ChettinadChicken/Comp KWs/Phrase</t>
        </is>
      </c>
      <c r="B21" s="92">
        <f>$B$6*O21</f>
        <v/>
      </c>
      <c r="C21" s="93">
        <f>F21/E21</f>
        <v/>
      </c>
      <c r="D21" s="94">
        <f>B21/C21*1000</f>
        <v/>
      </c>
      <c r="E21" s="108">
        <f>$E$6</f>
        <v/>
      </c>
      <c r="F21" s="93">
        <f>B21/G21</f>
        <v/>
      </c>
      <c r="G21" s="109">
        <f>$G$6</f>
        <v/>
      </c>
      <c r="H21" s="93">
        <f>F21*I21</f>
        <v/>
      </c>
      <c r="I21" s="110">
        <f>$I$6</f>
        <v/>
      </c>
      <c r="J21" s="94">
        <f>B21/H21</f>
        <v/>
      </c>
      <c r="K21" s="92">
        <f>AOV</f>
        <v/>
      </c>
      <c r="L21" s="92">
        <f>H21*K21</f>
        <v/>
      </c>
      <c r="M21" s="98">
        <f>B21/L21</f>
        <v/>
      </c>
      <c r="N21" s="99">
        <f>L21/B21</f>
        <v/>
      </c>
      <c r="O21" s="100" t="n">
        <v>0.05</v>
      </c>
      <c r="P21" s="91" t="inlineStr"/>
    </row>
    <row r="22">
      <c r="A22" s="91" t="inlineStr">
        <is>
          <t>SP/ChettinadChicken/Comp KWs/Broad</t>
        </is>
      </c>
      <c r="B22" s="92">
        <f>$B$6*O22</f>
        <v/>
      </c>
      <c r="C22" s="93">
        <f>F22/E22</f>
        <v/>
      </c>
      <c r="D22" s="94">
        <f>B22/C22*1000</f>
        <v/>
      </c>
      <c r="E22" s="108">
        <f>$E$6</f>
        <v/>
      </c>
      <c r="F22" s="93">
        <f>B22/G22</f>
        <v/>
      </c>
      <c r="G22" s="109">
        <f>$G$6</f>
        <v/>
      </c>
      <c r="H22" s="93">
        <f>F22*I22</f>
        <v/>
      </c>
      <c r="I22" s="110">
        <f>$I$6</f>
        <v/>
      </c>
      <c r="J22" s="94">
        <f>B22/H22</f>
        <v/>
      </c>
      <c r="K22" s="92">
        <f>AOV</f>
        <v/>
      </c>
      <c r="L22" s="92">
        <f>H22*K22</f>
        <v/>
      </c>
      <c r="M22" s="98">
        <f>B22/L22</f>
        <v/>
      </c>
      <c r="N22" s="99">
        <f>L22/B22</f>
        <v/>
      </c>
      <c r="O22" s="100" t="n">
        <v>0.02</v>
      </c>
      <c r="P22" s="91" t="inlineStr"/>
    </row>
    <row r="23">
      <c r="A23" s="91" t="inlineStr">
        <is>
          <t>SP/ChettinadChicken/CT</t>
        </is>
      </c>
      <c r="B23" s="92">
        <f>$B$6*O23</f>
        <v/>
      </c>
      <c r="C23" s="93">
        <f>F23/E23</f>
        <v/>
      </c>
      <c r="D23" s="94">
        <f>B23/C23*1000</f>
        <v/>
      </c>
      <c r="E23" s="108">
        <f>$E$6</f>
        <v/>
      </c>
      <c r="F23" s="93">
        <f>B23/G23</f>
        <v/>
      </c>
      <c r="G23" s="109">
        <f>$G$6</f>
        <v/>
      </c>
      <c r="H23" s="93">
        <f>F23*I23</f>
        <v/>
      </c>
      <c r="I23" s="110">
        <f>$I$6</f>
        <v/>
      </c>
      <c r="J23" s="94">
        <f>B23/H23</f>
        <v/>
      </c>
      <c r="K23" s="92">
        <f>AOV</f>
        <v/>
      </c>
      <c r="L23" s="92">
        <f>H23*K23</f>
        <v/>
      </c>
      <c r="M23" s="98">
        <f>B23/L23</f>
        <v/>
      </c>
      <c r="N23" s="99">
        <f>L23/B23</f>
        <v/>
      </c>
      <c r="O23" s="100" t="n">
        <v>0.05</v>
      </c>
      <c r="P23" s="91" t="inlineStr"/>
    </row>
    <row r="24">
      <c r="A24" s="91" t="inlineStr">
        <is>
          <t>SP/ChettinadChicken/IP/CompTar</t>
        </is>
      </c>
      <c r="B24" s="92">
        <f>$B$6*O24</f>
        <v/>
      </c>
      <c r="C24" s="93">
        <f>F24/E24</f>
        <v/>
      </c>
      <c r="D24" s="94">
        <f>B24/C24*1000</f>
        <v/>
      </c>
      <c r="E24" s="108">
        <f>$E$6</f>
        <v/>
      </c>
      <c r="F24" s="93">
        <f>B24/G24</f>
        <v/>
      </c>
      <c r="G24" s="109">
        <f>$G$6</f>
        <v/>
      </c>
      <c r="H24" s="93">
        <f>F24*I24</f>
        <v/>
      </c>
      <c r="I24" s="110">
        <f>$I$6</f>
        <v/>
      </c>
      <c r="J24" s="94">
        <f>B24/H24</f>
        <v/>
      </c>
      <c r="K24" s="92">
        <f>AOV</f>
        <v/>
      </c>
      <c r="L24" s="92">
        <f>H24*K24</f>
        <v/>
      </c>
      <c r="M24" s="98">
        <f>B24/L24</f>
        <v/>
      </c>
      <c r="N24" s="99">
        <f>L24/B24</f>
        <v/>
      </c>
      <c r="O24" s="100" t="n">
        <v>0.1</v>
      </c>
      <c r="P24" s="91" t="inlineStr"/>
    </row>
    <row r="25">
      <c r="A25" s="91" t="inlineStr">
        <is>
          <t>SP/ChettinadChicken/IP/BrandTar</t>
        </is>
      </c>
      <c r="B25" s="92">
        <f>$B$6*O25</f>
        <v/>
      </c>
      <c r="C25" s="93">
        <f>F25/E25</f>
        <v/>
      </c>
      <c r="D25" s="94">
        <f>B25/C25*1000</f>
        <v/>
      </c>
      <c r="E25" s="108">
        <f>$E$6</f>
        <v/>
      </c>
      <c r="F25" s="93">
        <f>B25/G25</f>
        <v/>
      </c>
      <c r="G25" s="109">
        <f>$G$6</f>
        <v/>
      </c>
      <c r="H25" s="93">
        <f>F25*I25</f>
        <v/>
      </c>
      <c r="I25" s="110">
        <f>$I$6</f>
        <v/>
      </c>
      <c r="J25" s="94">
        <f>B25/H25</f>
        <v/>
      </c>
      <c r="K25" s="92">
        <f>AOV</f>
        <v/>
      </c>
      <c r="L25" s="92">
        <f>H25*K25</f>
        <v/>
      </c>
      <c r="M25" s="98">
        <f>B25/L25</f>
        <v/>
      </c>
      <c r="N25" s="99">
        <f>L25/B25</f>
        <v/>
      </c>
      <c r="O25" s="100" t="n">
        <v>0.04</v>
      </c>
      <c r="P25" s="91" t="inlineStr"/>
    </row>
    <row r="26">
      <c r="A26" s="84" t="inlineStr">
        <is>
          <t>Total SP</t>
        </is>
      </c>
      <c r="B26" s="85">
        <f>SUM(B13:B25)</f>
        <v/>
      </c>
      <c r="C26" s="101">
        <f>SUM(C13:C25)</f>
        <v/>
      </c>
      <c r="D26" s="102">
        <f>B26/C26*1000</f>
        <v/>
      </c>
      <c r="E26" s="103">
        <f>F26/C26</f>
        <v/>
      </c>
      <c r="F26" s="101">
        <f>SUM(F13:F25)</f>
        <v/>
      </c>
      <c r="G26" s="104">
        <f>B26/F26</f>
        <v/>
      </c>
      <c r="H26" s="101">
        <f>SUM(H13:H25)</f>
        <v/>
      </c>
      <c r="I26" s="105">
        <f>H26/F26</f>
        <v/>
      </c>
      <c r="J26" s="102">
        <f>B26/H26</f>
        <v/>
      </c>
      <c r="K26" s="85">
        <f>L26/H26</f>
        <v/>
      </c>
      <c r="L26" s="85">
        <f>SUM(L13:L25)</f>
        <v/>
      </c>
      <c r="M26" s="105">
        <f>B26/L26</f>
        <v/>
      </c>
      <c r="N26" s="106">
        <f>L26/B26</f>
        <v/>
      </c>
      <c r="O26" s="107">
        <f>SUM(O13:O25)</f>
        <v/>
      </c>
      <c r="P26" s="111" t="inlineStr"/>
    </row>
    <row r="28">
      <c r="A28" s="87" t="inlineStr">
        <is>
          <t>B. SB campaigns</t>
        </is>
      </c>
      <c r="B28" s="88" t="n"/>
      <c r="C28" s="88" t="n"/>
      <c r="D28" s="88" t="n"/>
      <c r="E28" s="88" t="n"/>
      <c r="F28" s="88" t="n"/>
      <c r="G28" s="88" t="n"/>
      <c r="H28" s="88" t="n"/>
      <c r="I28" s="88" t="n"/>
      <c r="J28" s="88" t="n"/>
      <c r="K28" s="88" t="n"/>
      <c r="L28" s="88" t="n"/>
      <c r="M28" s="88" t="n"/>
      <c r="N28" s="88" t="n"/>
      <c r="O28" s="88" t="n"/>
      <c r="P28" s="89" t="n"/>
    </row>
    <row r="29">
      <c r="A29" s="90" t="inlineStr">
        <is>
          <t>Campaign</t>
        </is>
      </c>
      <c r="B29" s="90" t="inlineStr">
        <is>
          <t>Spend</t>
        </is>
      </c>
      <c r="C29" s="90" t="inlineStr">
        <is>
          <t>Impressions</t>
        </is>
      </c>
      <c r="D29" s="90" t="inlineStr">
        <is>
          <t>CPM</t>
        </is>
      </c>
      <c r="E29" s="90" t="inlineStr">
        <is>
          <t>CTR</t>
        </is>
      </c>
      <c r="F29" s="90" t="inlineStr">
        <is>
          <t>Clicks</t>
        </is>
      </c>
      <c r="G29" s="90" t="inlineStr">
        <is>
          <t>CPC</t>
        </is>
      </c>
      <c r="H29" s="90" t="inlineStr">
        <is>
          <t>Orders</t>
        </is>
      </c>
      <c r="I29" s="90" t="inlineStr">
        <is>
          <t>CVR</t>
        </is>
      </c>
      <c r="J29" s="90" t="inlineStr">
        <is>
          <t>CPA</t>
        </is>
      </c>
      <c r="K29" s="90" t="inlineStr">
        <is>
          <t>AOV</t>
        </is>
      </c>
      <c r="L29" s="90" t="inlineStr">
        <is>
          <t>Sales</t>
        </is>
      </c>
      <c r="M29" s="90" t="inlineStr">
        <is>
          <t>ACOS</t>
        </is>
      </c>
      <c r="N29" s="90" t="inlineStr">
        <is>
          <t>ROAS</t>
        </is>
      </c>
      <c r="O29" s="90" t="inlineStr">
        <is>
          <t>Share in SB</t>
        </is>
      </c>
      <c r="P29" s="90" t="inlineStr">
        <is>
          <t>Why</t>
        </is>
      </c>
    </row>
    <row r="30">
      <c r="A30" s="91" t="inlineStr">
        <is>
          <t>SB Brand – Product Collection (Combo-3)</t>
        </is>
      </c>
      <c r="B30" s="92">
        <f>$B$7*O30</f>
        <v/>
      </c>
      <c r="C30" s="93">
        <f>F30/E30</f>
        <v/>
      </c>
      <c r="D30" s="94">
        <f>B30/C30*1000</f>
        <v/>
      </c>
      <c r="E30" s="108">
        <f>$E$7</f>
        <v/>
      </c>
      <c r="F30" s="93">
        <f>B30/G30</f>
        <v/>
      </c>
      <c r="G30" s="109">
        <f>$G$7</f>
        <v/>
      </c>
      <c r="H30" s="93">
        <f>F30*I30</f>
        <v/>
      </c>
      <c r="I30" s="110">
        <f>$I$7</f>
        <v/>
      </c>
      <c r="J30" s="94">
        <f>B30/H30</f>
        <v/>
      </c>
      <c r="K30" s="92">
        <f>AOV</f>
        <v/>
      </c>
      <c r="L30" s="92">
        <f>H30*K30</f>
        <v/>
      </c>
      <c r="M30" s="98">
        <f>B30/L30</f>
        <v/>
      </c>
      <c r="N30" s="99">
        <f>L30/B30</f>
        <v/>
      </c>
      <c r="O30" s="100" t="n">
        <v>0.3</v>
      </c>
      <c r="P30" s="91" t="inlineStr">
        <is>
          <t>Combo lifts AOV to ₹450</t>
        </is>
      </c>
    </row>
    <row r="31">
      <c r="A31" s="91" t="inlineStr">
        <is>
          <t>SB/Video/Brand kws-Exact</t>
        </is>
      </c>
      <c r="B31" s="92">
        <f>$B$7*O31</f>
        <v/>
      </c>
      <c r="C31" s="93">
        <f>F31/E31</f>
        <v/>
      </c>
      <c r="D31" s="94">
        <f>B31/C31*1000</f>
        <v/>
      </c>
      <c r="E31" s="108">
        <f>$E$7</f>
        <v/>
      </c>
      <c r="F31" s="93">
        <f>B31/G31</f>
        <v/>
      </c>
      <c r="G31" s="109">
        <f>$G$7</f>
        <v/>
      </c>
      <c r="H31" s="93">
        <f>F31*I31</f>
        <v/>
      </c>
      <c r="I31" s="110">
        <f>$I$7</f>
        <v/>
      </c>
      <c r="J31" s="94">
        <f>B31/H31</f>
        <v/>
      </c>
      <c r="K31" s="92">
        <f>AOV</f>
        <v/>
      </c>
      <c r="L31" s="92">
        <f>H31*K31</f>
        <v/>
      </c>
      <c r="M31" s="98">
        <f>B31/L31</f>
        <v/>
      </c>
      <c r="N31" s="99">
        <f>L31/B31</f>
        <v/>
      </c>
      <c r="O31" s="100" t="n">
        <v>0.12</v>
      </c>
      <c r="P31" s="91" t="inlineStr"/>
    </row>
    <row r="32">
      <c r="A32" s="91" t="inlineStr">
        <is>
          <t>SB/Video/Brand kws-Phrase</t>
        </is>
      </c>
      <c r="B32" s="92">
        <f>$B$7*O32</f>
        <v/>
      </c>
      <c r="C32" s="93">
        <f>F32/E32</f>
        <v/>
      </c>
      <c r="D32" s="94">
        <f>B32/C32*1000</f>
        <v/>
      </c>
      <c r="E32" s="108">
        <f>$E$7</f>
        <v/>
      </c>
      <c r="F32" s="93">
        <f>B32/G32</f>
        <v/>
      </c>
      <c r="G32" s="109">
        <f>$G$7</f>
        <v/>
      </c>
      <c r="H32" s="93">
        <f>F32*I32</f>
        <v/>
      </c>
      <c r="I32" s="110">
        <f>$I$7</f>
        <v/>
      </c>
      <c r="J32" s="94">
        <f>B32/H32</f>
        <v/>
      </c>
      <c r="K32" s="92">
        <f>AOV</f>
        <v/>
      </c>
      <c r="L32" s="92">
        <f>H32*K32</f>
        <v/>
      </c>
      <c r="M32" s="98">
        <f>B32/L32</f>
        <v/>
      </c>
      <c r="N32" s="99">
        <f>L32/B32</f>
        <v/>
      </c>
      <c r="O32" s="100" t="n">
        <v>0.06</v>
      </c>
      <c r="P32" s="91" t="inlineStr"/>
    </row>
    <row r="33">
      <c r="A33" s="91" t="inlineStr">
        <is>
          <t>SB/Video/Generic Chettinad kws-Exact</t>
        </is>
      </c>
      <c r="B33" s="92">
        <f>$B$7*O33</f>
        <v/>
      </c>
      <c r="C33" s="93">
        <f>F33/E33</f>
        <v/>
      </c>
      <c r="D33" s="94">
        <f>B33/C33*1000</f>
        <v/>
      </c>
      <c r="E33" s="108">
        <f>$E$7</f>
        <v/>
      </c>
      <c r="F33" s="93">
        <f>B33/G33</f>
        <v/>
      </c>
      <c r="G33" s="109">
        <f>$G$7</f>
        <v/>
      </c>
      <c r="H33" s="93">
        <f>F33*I33</f>
        <v/>
      </c>
      <c r="I33" s="110">
        <f>$I$7</f>
        <v/>
      </c>
      <c r="J33" s="94">
        <f>B33/H33</f>
        <v/>
      </c>
      <c r="K33" s="92">
        <f>AOV</f>
        <v/>
      </c>
      <c r="L33" s="92">
        <f>H33*K33</f>
        <v/>
      </c>
      <c r="M33" s="98">
        <f>B33/L33</f>
        <v/>
      </c>
      <c r="N33" s="99">
        <f>L33/B33</f>
        <v/>
      </c>
      <c r="O33" s="100" t="n">
        <v>0.24</v>
      </c>
      <c r="P33" s="91" t="inlineStr"/>
    </row>
    <row r="34">
      <c r="A34" s="91" t="inlineStr">
        <is>
          <t>SB/Video/Generic Chettinad kws-Phrase</t>
        </is>
      </c>
      <c r="B34" s="92">
        <f>$B$7*O34</f>
        <v/>
      </c>
      <c r="C34" s="93">
        <f>F34/E34</f>
        <v/>
      </c>
      <c r="D34" s="94">
        <f>B34/C34*1000</f>
        <v/>
      </c>
      <c r="E34" s="108">
        <f>$E$7</f>
        <v/>
      </c>
      <c r="F34" s="93">
        <f>B34/G34</f>
        <v/>
      </c>
      <c r="G34" s="109">
        <f>$G$7</f>
        <v/>
      </c>
      <c r="H34" s="93">
        <f>F34*I34</f>
        <v/>
      </c>
      <c r="I34" s="110">
        <f>$I$7</f>
        <v/>
      </c>
      <c r="J34" s="94">
        <f>B34/H34</f>
        <v/>
      </c>
      <c r="K34" s="92">
        <f>AOV</f>
        <v/>
      </c>
      <c r="L34" s="92">
        <f>H34*K34</f>
        <v/>
      </c>
      <c r="M34" s="98">
        <f>B34/L34</f>
        <v/>
      </c>
      <c r="N34" s="99">
        <f>L34/B34</f>
        <v/>
      </c>
      <c r="O34" s="100" t="n">
        <v>0.12</v>
      </c>
      <c r="P34" s="91" t="inlineStr"/>
    </row>
    <row r="35">
      <c r="A35" s="91" t="inlineStr">
        <is>
          <t>SB/Video/Comp kws-Exact</t>
        </is>
      </c>
      <c r="B35" s="92">
        <f>$B$7*O35</f>
        <v/>
      </c>
      <c r="C35" s="93">
        <f>F35/E35</f>
        <v/>
      </c>
      <c r="D35" s="94">
        <f>B35/C35*1000</f>
        <v/>
      </c>
      <c r="E35" s="108">
        <f>$E$7</f>
        <v/>
      </c>
      <c r="F35" s="93">
        <f>B35/G35</f>
        <v/>
      </c>
      <c r="G35" s="109">
        <f>$G$7</f>
        <v/>
      </c>
      <c r="H35" s="93">
        <f>F35*I35</f>
        <v/>
      </c>
      <c r="I35" s="110">
        <f>$I$7</f>
        <v/>
      </c>
      <c r="J35" s="94">
        <f>B35/H35</f>
        <v/>
      </c>
      <c r="K35" s="92">
        <f>AOV</f>
        <v/>
      </c>
      <c r="L35" s="92">
        <f>H35*K35</f>
        <v/>
      </c>
      <c r="M35" s="98">
        <f>B35/L35</f>
        <v/>
      </c>
      <c r="N35" s="99">
        <f>L35/B35</f>
        <v/>
      </c>
      <c r="O35" s="100" t="n">
        <v>0.1</v>
      </c>
      <c r="P35" s="91" t="inlineStr"/>
    </row>
    <row r="36">
      <c r="A36" s="91" t="inlineStr">
        <is>
          <t>SB/Video/Comp kws-Phrase</t>
        </is>
      </c>
      <c r="B36" s="92">
        <f>$B$7*O36</f>
        <v/>
      </c>
      <c r="C36" s="93">
        <f>F36/E36</f>
        <v/>
      </c>
      <c r="D36" s="94">
        <f>B36/C36*1000</f>
        <v/>
      </c>
      <c r="E36" s="108">
        <f>$E$7</f>
        <v/>
      </c>
      <c r="F36" s="93">
        <f>B36/G36</f>
        <v/>
      </c>
      <c r="G36" s="109">
        <f>$G$7</f>
        <v/>
      </c>
      <c r="H36" s="93">
        <f>F36*I36</f>
        <v/>
      </c>
      <c r="I36" s="110">
        <f>$I$7</f>
        <v/>
      </c>
      <c r="J36" s="94">
        <f>B36/H36</f>
        <v/>
      </c>
      <c r="K36" s="92">
        <f>AOV</f>
        <v/>
      </c>
      <c r="L36" s="92">
        <f>H36*K36</f>
        <v/>
      </c>
      <c r="M36" s="98">
        <f>B36/L36</f>
        <v/>
      </c>
      <c r="N36" s="99">
        <f>L36/B36</f>
        <v/>
      </c>
      <c r="O36" s="100" t="n">
        <v>0.06</v>
      </c>
      <c r="P36" s="91" t="inlineStr"/>
    </row>
    <row r="37">
      <c r="A37" s="84" t="inlineStr">
        <is>
          <t>Total SB</t>
        </is>
      </c>
      <c r="B37" s="85">
        <f>SUM(B30:B36)</f>
        <v/>
      </c>
      <c r="C37" s="101">
        <f>SUM(C30:C36)</f>
        <v/>
      </c>
      <c r="D37" s="102">
        <f>B37/C37*1000</f>
        <v/>
      </c>
      <c r="E37" s="103">
        <f>F37/C37</f>
        <v/>
      </c>
      <c r="F37" s="101">
        <f>SUM(F30:F36)</f>
        <v/>
      </c>
      <c r="G37" s="104">
        <f>B37/F37</f>
        <v/>
      </c>
      <c r="H37" s="101">
        <f>SUM(H30:H36)</f>
        <v/>
      </c>
      <c r="I37" s="105">
        <f>H37/F37</f>
        <v/>
      </c>
      <c r="J37" s="102">
        <f>B37/H37</f>
        <v/>
      </c>
      <c r="K37" s="85">
        <f>L37/H37</f>
        <v/>
      </c>
      <c r="L37" s="85">
        <f>SUM(L30:L36)</f>
        <v/>
      </c>
      <c r="M37" s="105">
        <f>B37/L37</f>
        <v/>
      </c>
      <c r="N37" s="106">
        <f>L37/B37</f>
        <v/>
      </c>
      <c r="O37" s="107">
        <f>SUM(O30:O36)</f>
        <v/>
      </c>
      <c r="P37" s="111" t="inlineStr"/>
    </row>
    <row r="39">
      <c r="A39" s="87" t="inlineStr">
        <is>
          <t>B. SD campaigns</t>
        </is>
      </c>
      <c r="B39" s="88" t="n"/>
      <c r="C39" s="88" t="n"/>
      <c r="D39" s="88" t="n"/>
      <c r="E39" s="88" t="n"/>
      <c r="F39" s="88" t="n"/>
      <c r="G39" s="88" t="n"/>
      <c r="H39" s="88" t="n"/>
      <c r="I39" s="88" t="n"/>
      <c r="J39" s="88" t="n"/>
      <c r="K39" s="88" t="n"/>
      <c r="L39" s="88" t="n"/>
      <c r="M39" s="88" t="n"/>
      <c r="N39" s="88" t="n"/>
      <c r="O39" s="88" t="n"/>
      <c r="P39" s="89" t="n"/>
    </row>
    <row r="40">
      <c r="A40" s="90" t="inlineStr">
        <is>
          <t>Campaign</t>
        </is>
      </c>
      <c r="B40" s="90" t="inlineStr">
        <is>
          <t>Spend</t>
        </is>
      </c>
      <c r="C40" s="90" t="inlineStr">
        <is>
          <t>Impressions</t>
        </is>
      </c>
      <c r="D40" s="90" t="inlineStr">
        <is>
          <t>CPM</t>
        </is>
      </c>
      <c r="E40" s="90" t="inlineStr">
        <is>
          <t>CTR</t>
        </is>
      </c>
      <c r="F40" s="90" t="inlineStr">
        <is>
          <t>Clicks</t>
        </is>
      </c>
      <c r="G40" s="90" t="inlineStr">
        <is>
          <t>CPC</t>
        </is>
      </c>
      <c r="H40" s="90" t="inlineStr">
        <is>
          <t>Orders</t>
        </is>
      </c>
      <c r="I40" s="90" t="inlineStr">
        <is>
          <t>CVR</t>
        </is>
      </c>
      <c r="J40" s="90" t="inlineStr">
        <is>
          <t>CPA</t>
        </is>
      </c>
      <c r="K40" s="90" t="inlineStr">
        <is>
          <t>AOV</t>
        </is>
      </c>
      <c r="L40" s="90" t="inlineStr">
        <is>
          <t>Sales</t>
        </is>
      </c>
      <c r="M40" s="90" t="inlineStr">
        <is>
          <t>ACOS</t>
        </is>
      </c>
      <c r="N40" s="90" t="inlineStr">
        <is>
          <t>ROAS</t>
        </is>
      </c>
      <c r="O40" s="90" t="inlineStr">
        <is>
          <t>Share in SD</t>
        </is>
      </c>
      <c r="P40" s="90" t="inlineStr">
        <is>
          <t>Why</t>
        </is>
      </c>
    </row>
    <row r="41">
      <c r="A41" s="91" t="inlineStr">
        <is>
          <t>SD/Remarketing/Views</t>
        </is>
      </c>
      <c r="B41" s="92">
        <f>$B$8*O41</f>
        <v/>
      </c>
      <c r="C41" s="93">
        <f>F41/E41</f>
        <v/>
      </c>
      <c r="D41" s="94">
        <f>B41/C41*1000</f>
        <v/>
      </c>
      <c r="E41" s="108">
        <f>$E$8</f>
        <v/>
      </c>
      <c r="F41" s="93">
        <f>B41/G41</f>
        <v/>
      </c>
      <c r="G41" s="109">
        <f>$G$8</f>
        <v/>
      </c>
      <c r="H41" s="93">
        <f>F41*I41</f>
        <v/>
      </c>
      <c r="I41" s="110">
        <f>$I$8</f>
        <v/>
      </c>
      <c r="J41" s="94">
        <f>B41/H41</f>
        <v/>
      </c>
      <c r="K41" s="92">
        <f>AOV</f>
        <v/>
      </c>
      <c r="L41" s="92">
        <f>H41*K41</f>
        <v/>
      </c>
      <c r="M41" s="98">
        <f>B41/L41</f>
        <v/>
      </c>
      <c r="N41" s="99">
        <f>L41/B41</f>
        <v/>
      </c>
      <c r="O41" s="100" t="n">
        <v>0.35</v>
      </c>
      <c r="P41" s="91" t="inlineStr"/>
    </row>
    <row r="42">
      <c r="A42" s="91" t="inlineStr">
        <is>
          <t>SD/Remarketing/Purchases</t>
        </is>
      </c>
      <c r="B42" s="92">
        <f>$B$8*O42</f>
        <v/>
      </c>
      <c r="C42" s="93">
        <f>F42/E42</f>
        <v/>
      </c>
      <c r="D42" s="94">
        <f>B42/C42*1000</f>
        <v/>
      </c>
      <c r="E42" s="108">
        <f>$E$8</f>
        <v/>
      </c>
      <c r="F42" s="93">
        <f>B42/G42</f>
        <v/>
      </c>
      <c r="G42" s="109">
        <f>$G$8</f>
        <v/>
      </c>
      <c r="H42" s="93">
        <f>F42*I42</f>
        <v/>
      </c>
      <c r="I42" s="110">
        <f>$I$8</f>
        <v/>
      </c>
      <c r="J42" s="94">
        <f>B42/H42</f>
        <v/>
      </c>
      <c r="K42" s="92">
        <f>AOV</f>
        <v/>
      </c>
      <c r="L42" s="92">
        <f>H42*K42</f>
        <v/>
      </c>
      <c r="M42" s="98">
        <f>B42/L42</f>
        <v/>
      </c>
      <c r="N42" s="99">
        <f>L42/B42</f>
        <v/>
      </c>
      <c r="O42" s="100" t="n">
        <v>0.25</v>
      </c>
      <c r="P42" s="91" t="inlineStr">
        <is>
          <t>Repeat buyers add up (deck)</t>
        </is>
      </c>
    </row>
    <row r="43">
      <c r="A43" s="91" t="inlineStr">
        <is>
          <t>SD/Contextual/IP-Comp</t>
        </is>
      </c>
      <c r="B43" s="92">
        <f>$B$8*O43</f>
        <v/>
      </c>
      <c r="C43" s="93">
        <f>F43/E43</f>
        <v/>
      </c>
      <c r="D43" s="94">
        <f>B43/C43*1000</f>
        <v/>
      </c>
      <c r="E43" s="108">
        <f>$E$8</f>
        <v/>
      </c>
      <c r="F43" s="93">
        <f>B43/G43</f>
        <v/>
      </c>
      <c r="G43" s="109">
        <f>$G$8</f>
        <v/>
      </c>
      <c r="H43" s="93">
        <f>F43*I43</f>
        <v/>
      </c>
      <c r="I43" s="110">
        <f>$I$8</f>
        <v/>
      </c>
      <c r="J43" s="94">
        <f>B43/H43</f>
        <v/>
      </c>
      <c r="K43" s="92">
        <f>AOV</f>
        <v/>
      </c>
      <c r="L43" s="92">
        <f>H43*K43</f>
        <v/>
      </c>
      <c r="M43" s="98">
        <f>B43/L43</f>
        <v/>
      </c>
      <c r="N43" s="99">
        <f>L43/B43</f>
        <v/>
      </c>
      <c r="O43" s="100" t="n">
        <v>0.15</v>
      </c>
      <c r="P43" s="91" t="inlineStr"/>
    </row>
    <row r="44">
      <c r="A44" s="91" t="inlineStr">
        <is>
          <t>SD/Contextual/CT</t>
        </is>
      </c>
      <c r="B44" s="92">
        <f>$B$8*O44</f>
        <v/>
      </c>
      <c r="C44" s="93">
        <f>F44/E44</f>
        <v/>
      </c>
      <c r="D44" s="94">
        <f>B44/C44*1000</f>
        <v/>
      </c>
      <c r="E44" s="108">
        <f>$E$8</f>
        <v/>
      </c>
      <c r="F44" s="93">
        <f>B44/G44</f>
        <v/>
      </c>
      <c r="G44" s="109">
        <f>$G$8</f>
        <v/>
      </c>
      <c r="H44" s="93">
        <f>F44*I44</f>
        <v/>
      </c>
      <c r="I44" s="110">
        <f>$I$8</f>
        <v/>
      </c>
      <c r="J44" s="94">
        <f>B44/H44</f>
        <v/>
      </c>
      <c r="K44" s="92">
        <f>AOV</f>
        <v/>
      </c>
      <c r="L44" s="92">
        <f>H44*K44</f>
        <v/>
      </c>
      <c r="M44" s="98">
        <f>B44/L44</f>
        <v/>
      </c>
      <c r="N44" s="99">
        <f>L44/B44</f>
        <v/>
      </c>
      <c r="O44" s="100" t="n">
        <v>0.05</v>
      </c>
      <c r="P44" s="91" t="inlineStr"/>
    </row>
    <row r="45">
      <c r="A45" s="91" t="inlineStr">
        <is>
          <t>SD/Inmarketing</t>
        </is>
      </c>
      <c r="B45" s="92">
        <f>$B$8*O45</f>
        <v/>
      </c>
      <c r="C45" s="93">
        <f>F45/E45</f>
        <v/>
      </c>
      <c r="D45" s="94">
        <f>B45/C45*1000</f>
        <v/>
      </c>
      <c r="E45" s="108">
        <f>$E$8</f>
        <v/>
      </c>
      <c r="F45" s="93">
        <f>B45/G45</f>
        <v/>
      </c>
      <c r="G45" s="109">
        <f>$G$8</f>
        <v/>
      </c>
      <c r="H45" s="93">
        <f>F45*I45</f>
        <v/>
      </c>
      <c r="I45" s="110">
        <f>$I$8</f>
        <v/>
      </c>
      <c r="J45" s="94">
        <f>B45/H45</f>
        <v/>
      </c>
      <c r="K45" s="92">
        <f>AOV</f>
        <v/>
      </c>
      <c r="L45" s="92">
        <f>H45*K45</f>
        <v/>
      </c>
      <c r="M45" s="98">
        <f>B45/L45</f>
        <v/>
      </c>
      <c r="N45" s="99">
        <f>L45/B45</f>
        <v/>
      </c>
      <c r="O45" s="100" t="n">
        <v>0.15</v>
      </c>
      <c r="P45" s="91" t="inlineStr"/>
    </row>
    <row r="46">
      <c r="A46" s="91" t="inlineStr">
        <is>
          <t>SD/Contextual/IP-Brand</t>
        </is>
      </c>
      <c r="B46" s="92">
        <f>$B$8*O46</f>
        <v/>
      </c>
      <c r="C46" s="93">
        <f>F46/E46</f>
        <v/>
      </c>
      <c r="D46" s="94">
        <f>B46/C46*1000</f>
        <v/>
      </c>
      <c r="E46" s="108">
        <f>$E$8</f>
        <v/>
      </c>
      <c r="F46" s="93">
        <f>B46/G46</f>
        <v/>
      </c>
      <c r="G46" s="109">
        <f>$G$8</f>
        <v/>
      </c>
      <c r="H46" s="93">
        <f>F46*I46</f>
        <v/>
      </c>
      <c r="I46" s="110">
        <f>$I$8</f>
        <v/>
      </c>
      <c r="J46" s="94">
        <f>B46/H46</f>
        <v/>
      </c>
      <c r="K46" s="92">
        <f>AOV</f>
        <v/>
      </c>
      <c r="L46" s="92">
        <f>H46*K46</f>
        <v/>
      </c>
      <c r="M46" s="98">
        <f>B46/L46</f>
        <v/>
      </c>
      <c r="N46" s="99">
        <f>L46/B46</f>
        <v/>
      </c>
      <c r="O46" s="100" t="n">
        <v>0.05</v>
      </c>
      <c r="P46" s="91" t="inlineStr"/>
    </row>
    <row r="47">
      <c r="A47" s="84" t="inlineStr">
        <is>
          <t>Total SD</t>
        </is>
      </c>
      <c r="B47" s="85">
        <f>SUM(B41:B46)</f>
        <v/>
      </c>
      <c r="C47" s="101">
        <f>SUM(C41:C46)</f>
        <v/>
      </c>
      <c r="D47" s="102">
        <f>B47/C47*1000</f>
        <v/>
      </c>
      <c r="E47" s="103">
        <f>F47/C47</f>
        <v/>
      </c>
      <c r="F47" s="101">
        <f>SUM(F41:F46)</f>
        <v/>
      </c>
      <c r="G47" s="104">
        <f>B47/F47</f>
        <v/>
      </c>
      <c r="H47" s="101">
        <f>SUM(H41:H46)</f>
        <v/>
      </c>
      <c r="I47" s="105">
        <f>H47/F47</f>
        <v/>
      </c>
      <c r="J47" s="102">
        <f>B47/H47</f>
        <v/>
      </c>
      <c r="K47" s="85">
        <f>L47/H47</f>
        <v/>
      </c>
      <c r="L47" s="85">
        <f>SUM(L41:L46)</f>
        <v/>
      </c>
      <c r="M47" s="105">
        <f>B47/L47</f>
        <v/>
      </c>
      <c r="N47" s="106">
        <f>L47/B47</f>
        <v/>
      </c>
      <c r="O47" s="107">
        <f>SUM(O41:O46)</f>
        <v/>
      </c>
      <c r="P47" s="111" t="inlineStr"/>
    </row>
  </sheetData>
  <mergeCells count="6">
    <mergeCell ref="A11:P11"/>
    <mergeCell ref="A28:P28"/>
    <mergeCell ref="A1:O1"/>
    <mergeCell ref="A39:P39"/>
    <mergeCell ref="A4:O4"/>
    <mergeCell ref="C2:O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83" t="inlineStr">
        <is>
          <t>Phase Summary – budget, sales and ROAS by ad type</t>
        </is>
      </c>
    </row>
    <row r="3">
      <c r="A3" s="90" t="inlineStr">
        <is>
          <t>Phase</t>
        </is>
      </c>
      <c r="B3" s="90" t="inlineStr">
        <is>
          <t>Budget</t>
        </is>
      </c>
      <c r="C3" s="90" t="inlineStr">
        <is>
          <t>SP</t>
        </is>
      </c>
      <c r="D3" s="90" t="inlineStr">
        <is>
          <t>SB</t>
        </is>
      </c>
      <c r="E3" s="90" t="inlineStr">
        <is>
          <t>SD</t>
        </is>
      </c>
      <c r="F3" s="90" t="inlineStr">
        <is>
          <t>Sales</t>
        </is>
      </c>
      <c r="G3" s="90" t="inlineStr">
        <is>
          <t>Orders</t>
        </is>
      </c>
      <c r="H3" s="90" t="inlineStr">
        <is>
          <t>ROAS</t>
        </is>
      </c>
    </row>
    <row r="4">
      <c r="A4" s="112" t="inlineStr">
        <is>
          <t>Month 1 &amp; 2</t>
        </is>
      </c>
      <c r="B4" s="92">
        <f>'Month 1 and 2'!B9</f>
        <v/>
      </c>
      <c r="C4" s="92">
        <f>'Month 1 and 2'!B6</f>
        <v/>
      </c>
      <c r="D4" s="92">
        <f>'Month 1 and 2'!B7</f>
        <v/>
      </c>
      <c r="E4" s="92">
        <f>'Month 1 and 2'!B8</f>
        <v/>
      </c>
      <c r="F4" s="92">
        <f>'Month 1 and 2'!L9</f>
        <v/>
      </c>
      <c r="G4" s="93">
        <f>'Month 1 and 2'!H9</f>
        <v/>
      </c>
      <c r="H4" s="99">
        <f>'Month 1 and 2'!N9</f>
        <v/>
      </c>
    </row>
    <row r="5">
      <c r="A5" s="112" t="inlineStr">
        <is>
          <t>Month 3 &amp; 4</t>
        </is>
      </c>
      <c r="B5" s="92">
        <f>'Month 3 and 4'!B9</f>
        <v/>
      </c>
      <c r="C5" s="92">
        <f>'Month 3 and 4'!B6</f>
        <v/>
      </c>
      <c r="D5" s="92">
        <f>'Month 3 and 4'!B7</f>
        <v/>
      </c>
      <c r="E5" s="92">
        <f>'Month 3 and 4'!B8</f>
        <v/>
      </c>
      <c r="F5" s="92">
        <f>'Month 3 and 4'!L9</f>
        <v/>
      </c>
      <c r="G5" s="93">
        <f>'Month 3 and 4'!H9</f>
        <v/>
      </c>
      <c r="H5" s="99">
        <f>'Month 3 and 4'!N9</f>
        <v/>
      </c>
    </row>
    <row r="6">
      <c r="A6" s="112" t="inlineStr">
        <is>
          <t>Month 5 &amp; 6</t>
        </is>
      </c>
      <c r="B6" s="92">
        <f>'Month 5 and 6'!B9</f>
        <v/>
      </c>
      <c r="C6" s="92">
        <f>'Month 5 and 6'!B6</f>
        <v/>
      </c>
      <c r="D6" s="92">
        <f>'Month 5 and 6'!B7</f>
        <v/>
      </c>
      <c r="E6" s="92">
        <f>'Month 5 and 6'!B8</f>
        <v/>
      </c>
      <c r="F6" s="92">
        <f>'Month 5 and 6'!L9</f>
        <v/>
      </c>
      <c r="G6" s="93">
        <f>'Month 5 and 6'!H9</f>
        <v/>
      </c>
      <c r="H6" s="99">
        <f>'Month 5 and 6'!N9</f>
        <v/>
      </c>
    </row>
    <row r="7">
      <c r="A7" s="84" t="inlineStr">
        <is>
          <t>Total</t>
        </is>
      </c>
      <c r="B7" s="85">
        <f>SUM(B4:B6)</f>
        <v/>
      </c>
      <c r="C7" s="85">
        <f>SUM(C4:C6)</f>
        <v/>
      </c>
      <c r="D7" s="85">
        <f>SUM(D4:D6)</f>
        <v/>
      </c>
      <c r="E7" s="85">
        <f>SUM(E4:E6)</f>
        <v/>
      </c>
      <c r="F7" s="85">
        <f>SUM(F4:F6)</f>
        <v/>
      </c>
      <c r="G7" s="101">
        <f>SUM(G4:G6)</f>
        <v/>
      </c>
      <c r="H7" s="106">
        <f>F7/B7</f>
        <v/>
      </c>
    </row>
    <row r="10" ht="18" customHeight="1">
      <c r="A10" s="84" t="inlineStr">
        <is>
          <t>Benchmarks used (per ad type)</t>
        </is>
      </c>
      <c r="B10" s="91" t="inlineStr"/>
    </row>
    <row r="11" ht="32" customHeight="1">
      <c r="A11" s="112" t="inlineStr">
        <is>
          <t>SP</t>
        </is>
      </c>
      <c r="B11" s="91" t="inlineStr">
        <is>
          <t>CTR 0.4%, CPC ₹12, CVR 8% → ROAS 3.0. Deck numbers; CPC within India grocery ₹4–16, CVR within India F&amp;B 8–15%.</t>
        </is>
      </c>
    </row>
    <row r="12" ht="32" customHeight="1">
      <c r="A12" s="112" t="inlineStr">
        <is>
          <t>SB</t>
        </is>
      </c>
      <c r="B12" s="91" t="inlineStr">
        <is>
          <t>CTR 0.5%, CPC ₹15, CVR 10% → ROAS 3.0. India SB CPC ₹12–30; video lifts CTR (~0.9% global) and CVR (8–12% global).</t>
        </is>
      </c>
    </row>
    <row r="13" ht="32" customHeight="1">
      <c r="A13" s="112" t="inlineStr">
        <is>
          <t>SD</t>
        </is>
      </c>
      <c r="B13" s="91" t="inlineStr">
        <is>
          <t>CTR 0.25%, CPC ₹9, CVR 6% → ROAS 3.0. India SD CPC ₹3–15; global SD CTR 0.2–0.5%, CVR 5–10%.</t>
        </is>
      </c>
    </row>
    <row r="14" ht="32" customHeight="1">
      <c r="A14" s="112" t="inlineStr">
        <is>
          <t>Type split</t>
        </is>
      </c>
      <c r="B14" s="91" t="inlineStr">
        <is>
          <t>M1–2: SP 60 / SB 25 / SD 15 (your split). M3–4: 55 / 27 / 18 – SB Brand combo + purchase remarketing start (deck). M5–6: 50 / 28 / 22 – repeat buyers and combo; SP stays biggest.</t>
        </is>
      </c>
    </row>
    <row r="15" ht="32" customHeight="1">
      <c r="A15" s="112" t="inlineStr">
        <is>
          <t>AOV</t>
        </is>
      </c>
      <c r="B15" s="91" t="inlineStr">
        <is>
          <t>₹450 = Combo of 3 (deck) for every ad type, so all sales add up to the Media Planning target.</t>
        </is>
      </c>
    </row>
  </sheetData>
  <mergeCells count="7">
    <mergeCell ref="A1:H1"/>
    <mergeCell ref="B14:H14"/>
    <mergeCell ref="B13:H13"/>
    <mergeCell ref="B12:H12"/>
    <mergeCell ref="B15:H15"/>
    <mergeCell ref="B10:H10"/>
    <mergeCell ref="B11:H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Ankit Gupta</dc:creator>
  <dcterms:created xmlns:dcterms="http://purl.org/dc/terms/" xmlns:xsi="http://www.w3.org/2001/XMLSchema-instance" xsi:type="dcterms:W3CDTF">2026-09-17T11:36:25Z</dcterms:created>
  <dcterms:modified xmlns:dcterms="http://purl.org/dc/terms/" xmlns:xsi="http://www.w3.org/2001/XMLSchema-instance" xsi:type="dcterms:W3CDTF">2026-10-04T15:51:19Z</dcterms:modified>
  <cp:lastModifiedBy>Ankit Gupta</cp:lastModifiedBy>
</cp:coreProperties>
</file>