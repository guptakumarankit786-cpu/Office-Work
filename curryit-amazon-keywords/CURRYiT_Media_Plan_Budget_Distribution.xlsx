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a Plan" sheetId="1" state="visible" r:id="rId3"/>
    <sheet name="Budget Distribution" sheetId="2" state="visible" r:id="rId4"/>
    <sheet name="Campaign-wise Split" sheetId="3" state="visible" r:id="rId5"/>
    <sheet name="Benchmar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<sst xmlns="http://schemas.openxmlformats.org/spreadsheetml/2006/main" count="157" uniqueCount="111">
  <si>
    <t xml:space="preserve">Goal</t>
  </si>
  <si>
    <t xml:space="preserve">Amazon revenue ₹1.4L → ₹10,00,000 / month in 6 months using listing optimisation + SP/SB/SD ads</t>
  </si>
  <si>
    <t xml:space="preserve">Media Plan – CURRYiT (Chettinad Chicken Curry Paste, ASIN B0G1YXWM2P)</t>
  </si>
  <si>
    <t xml:space="preserve">Duration</t>
  </si>
  <si>
    <t xml:space="preserve">Spend</t>
  </si>
  <si>
    <t xml:space="preserve">Impressions</t>
  </si>
  <si>
    <t xml:space="preserve">CPM</t>
  </si>
  <si>
    <t xml:space="preserve">CTR</t>
  </si>
  <si>
    <t xml:space="preserve">Clicks</t>
  </si>
  <si>
    <t xml:space="preserve">CPC</t>
  </si>
  <si>
    <t xml:space="preserve">Sales</t>
  </si>
  <si>
    <t xml:space="preserve">Orders</t>
  </si>
  <si>
    <t xml:space="preserve">CVR</t>
  </si>
  <si>
    <t xml:space="preserve">CPA</t>
  </si>
  <si>
    <t xml:space="preserve">AOV</t>
  </si>
  <si>
    <t xml:space="preserve">ACOS</t>
  </si>
  <si>
    <t xml:space="preserve">ROAS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</si>
  <si>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</si>
  <si>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</si>
  <si>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</si>
  <si>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</si>
  <si>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</si>
  <si>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</si>
  <si>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Total</t>
  </si>
  <si>
    <t xml:space="preserve">Yellow cells = assumptions (inputs). White cells = formulas.</t>
  </si>
  <si>
    <t xml:space="preserve">Assumed</t>
  </si>
  <si>
    <t xml:space="preserve">Reason</t>
  </si>
  <si>
    <t xml:space="preserve">₹450 = combo pack of 3 pastes. Given in the CURRYiT deck. Kept flat all 6 months.</t>
  </si>
  <si>
    <t xml:space="preserve">Deck phasing: M1–2 ₹1.4L→₹3L, M3–4 ₹3L→₹6L, M5–6 ₹6L→₹10L. Full target planned as paid revenue (deck rule).</t>
  </si>
  <si>
    <t xml:space="preserve">Starts 0.30% (low end of SP 0.3–0.5% benchmark; no video, 6 images, 4.0★ only 248 ratings). Rises to the deck's 0.4% by M6 as video, 7 images and reviews come in. Food &amp; Grocery average = 0.39%.</t>
  </si>
  <si>
    <t xml:space="preserve">Starts ₹14 (new keywords, low relevance score, fighting for top of search). Falls to the deck's ₹12 by M6 as spend moves to proven Exact/brand terms. India grocery CPC benchmark ₹4–16, median ~₹9; D2C SP ₹12–35.</t>
  </si>
  <si>
    <t xml:space="preserve">Starts 6% because the listing is broken today (seller rating 2/5, 11-day delivery, thin listing). Reaches the deck's 8% by M6 after listing fix + FBA. Global grocery CVR is 15–20%, so 8% is safe for a small brand.</t>
  </si>
  <si>
    <t xml:space="preserve">ACOS / ROAS</t>
  </si>
  <si>
    <t xml:space="preserve">Not assumed – it is the output. Falls from ~52% (ROAS 1.9) in M1 to 33% (ROAS 3.0) in M6, same as the deck maths.</t>
  </si>
  <si>
    <t xml:space="preserve">Check vs deck (Month 6): ₹10,00,000 ÷ ₹450 = 2,222 orders ÷ 8% = 27,775 clicks × ₹12 = ₹3,33,300 spend → ROAS 3.0</t>
  </si>
  <si>
    <t xml:space="preserve">Budget Distribution by Campaign Type (₹ / month)</t>
  </si>
  <si>
    <t xml:space="preserve">Campaign type</t>
  </si>
  <si>
    <t xml:space="preserve">Share</t>
  </si>
  <si>
    <t xml:space="preserve">Total spend (from Media Plan)</t>
  </si>
  <si>
    <t xml:space="preserve">SP Exact (Brand/Generic/Comp kws – Exact, Phrase, Broad)</t>
  </si>
  <si>
    <t xml:space="preserve">SP Auto</t>
  </si>
  <si>
    <t xml:space="preserve">SP Product Targeting (IP + CT)</t>
  </si>
  <si>
    <t xml:space="preserve">SB Video</t>
  </si>
  <si>
    <t xml:space="preserve">SB Brand (combo) – from Month 3</t>
  </si>
  <si>
    <t xml:space="preserve">SD (Contextual + Remarketing + Audiences)</t>
  </si>
  <si>
    <t xml:space="preserve">Split % (input)</t>
  </si>
  <si>
    <t xml:space="preserve">Check = 100%</t>
  </si>
  <si>
    <t xml:space="preserve">Phase</t>
  </si>
  <si>
    <t xml:space="preserve">Why this split</t>
  </si>
  <si>
    <t xml:space="preserve">Month 1–2: Get started</t>
  </si>
  <si>
    <t xml:space="preserve">SP Exact + Auto + PT = 85–78%. Listing fix, early reviews, find best keywords. No SB Brand (no combo push yet). SD starts M2 on viewers only.</t>
  </si>
  <si>
    <t xml:space="preserve">Month 3–4: Grow</t>
  </si>
  <si>
    <t xml:space="preserve">SB Brand starts M3 to sell the combo (deck rule). Auto cut as winners move to Exact. SD scales as viewer pool grows.</t>
  </si>
  <si>
    <t xml:space="preserve">Month 5–6: Hit target</t>
  </si>
  <si>
    <t xml:space="preserve">Tighten, do not expand: Auto 8%. SB + SD = 45% to drive repeat buyers and combo. SP Exact stays the biggest bucket (best ROAS).</t>
  </si>
  <si>
    <t xml:space="preserve">Campaign-wise Budget (from your Campaign Structure file)</t>
  </si>
  <si>
    <t xml:space="preserve">Type</t>
  </si>
  <si>
    <t xml:space="preserve">Campaign</t>
  </si>
  <si>
    <t xml:space="preserve">Share within type (SD: M3–6)</t>
  </si>
  <si>
    <t xml:space="preserve">SP Exact</t>
  </si>
  <si>
    <t xml:space="preserve">SP/ChettinadChicken/Brand KWs (Exact+Phrase+Broad)</t>
  </si>
  <si>
    <t xml:space="preserve">SP/ChettinadChicken/Generic KWs (Exact+Phrase+Broad)</t>
  </si>
  <si>
    <t xml:space="preserve">SP/ChettinadChicken/Comp KWs (Exact+Phrase+Broad)</t>
  </si>
  <si>
    <t xml:space="preserve">SP/ChettinadChicken/Auto</t>
  </si>
  <si>
    <t xml:space="preserve">SP PT</t>
  </si>
  <si>
    <t xml:space="preserve">SP/IP/CompTar (competitor ASINs)</t>
  </si>
  <si>
    <t xml:space="preserve">SP/CT (category)</t>
  </si>
  <si>
    <t xml:space="preserve">SP/IP/BrandTar (own ASINs – defence)</t>
  </si>
  <si>
    <t xml:space="preserve">SB/Video/Brand kws (Exact+Phrase)</t>
  </si>
  <si>
    <t xml:space="preserve">SB/Video/Generic Chettinad kws (Exact+Phrase)</t>
  </si>
  <si>
    <t xml:space="preserve">SB/Video/Comp kws (Exact+Phrase)</t>
  </si>
  <si>
    <t xml:space="preserve">SB Brand</t>
  </si>
  <si>
    <t xml:space="preserve">SB Brand – Product Collection (combo)</t>
  </si>
  <si>
    <t xml:space="preserve">SD</t>
  </si>
  <si>
    <t xml:space="preserve">SD/Contextual/IP – Comp Curry Paste</t>
  </si>
  <si>
    <t xml:space="preserve">SD/Contextual/CT</t>
  </si>
  <si>
    <t xml:space="preserve">SD/Remarketing/Views</t>
  </si>
  <si>
    <t xml:space="preserve">SD/Remarketing/Purchases</t>
  </si>
  <si>
    <t xml:space="preserve">SD/Inmarketing</t>
  </si>
  <si>
    <t xml:space="preserve">SD/Contextual/IP – Brand (own ASINs)</t>
  </si>
  <si>
    <t xml:space="preserve">Brand 15% only: brand searches are small (curry it 2,400 + curryit 1,300) and cheap. Generic 60%: biggest relevant volume (Chettinad 1,980 + chicken curry masala 1,490 + paste/RTC 720). SD Views biggest SD share: warmest audience. SD in Month 2 = only IP 30% / CT 20% / Views 50%; Purchases + In-market start Month 3 (same as SD sheet).</t>
  </si>
  <si>
    <t xml:space="preserve">Metric</t>
  </si>
  <si>
    <t xml:space="preserve">Benchmark found</t>
  </si>
  <si>
    <t xml:space="preserve">Source</t>
  </si>
  <si>
    <t xml:space="preserve">Used in plan</t>
  </si>
  <si>
    <t xml:space="preserve">CTR – Food &amp; Grocery</t>
  </si>
  <si>
    <t xml:space="preserve">0.39% average (another source 0.53%); grocery range 0.30–0.42%</t>
  </si>
  <si>
    <t xml:space="preserve">adbadger.com, triplewhale.com, autron.ai (2026 benchmark posts)</t>
  </si>
  <si>
    <t xml:space="preserve">0.30% → 0.40%</t>
  </si>
  <si>
    <t xml:space="preserve">CTR – by ad type</t>
  </si>
  <si>
    <t xml:space="preserve">SP 0.3–0.5%, SB 0.2–0.4%, SD 0.1–0.2%</t>
  </si>
  <si>
    <t xml:space="preserve">salesduo.com – Amazon Advertising Benchmarks 2026</t>
  </si>
  <si>
    <t xml:space="preserve">Blended 0.30–0.40%</t>
  </si>
  <si>
    <t xml:space="preserve">CVR – Food &amp; Grocery</t>
  </si>
  <si>
    <t xml:space="preserve">16.5% average; 15–20% / 20–30% in some reports (US data)</t>
  </si>
  <si>
    <t xml:space="preserve">adbadger.com, sequencecommerce.com</t>
  </si>
  <si>
    <t xml:space="preserve">6% → 8% (deck; small brand, weak listing)</t>
  </si>
  <si>
    <t xml:space="preserve">CPC – India Grocery</t>
  </si>
  <si>
    <t xml:space="preserve">₹3–10 avg; ₹4–16 range, median ~₹9; top of search +18–40%</t>
  </si>
  <si>
    <t xml:space="preserve">swcybernetics.in, upgrowth.in (2026 India guides)</t>
  </si>
  <si>
    <t xml:space="preserve">₹14 → ₹12</t>
  </si>
  <si>
    <t xml:space="preserve">CPC – India SP (D2C)</t>
  </si>
  <si>
    <t xml:space="preserve">₹12–35 for most D2C categories; SD retargeting ₹3–15</t>
  </si>
  <si>
    <t xml:space="preserve">evanik.ai, upgrowth.in</t>
  </si>
  <si>
    <t xml:space="preserve">₹12 (deck)</t>
  </si>
  <si>
    <t xml:space="preserve">ACOS / ROAS – Grocery</t>
  </si>
  <si>
    <t xml:space="preserve">ACOS 21% (US avg); India Grocery ACOS 12–22%, ROAS 5–9x</t>
  </si>
  <si>
    <t xml:space="preserve">adbadger.com, upgrowth.in</t>
  </si>
  <si>
    <t xml:space="preserve">33% ACOS / 3.0 ROAS by M6 (new brand, conservative)</t>
  </si>
  <si>
    <t xml:space="preserve">Note</t>
  </si>
  <si>
    <t xml:space="preserve">US and India numbers differ. Use these as direction only. Deck numbers (CTR 0.4%, CVR 8%, CPC ₹12) kept as the Month 6 end-state.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</si>
</sst>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"/>
    <numFmt numFmtId="166" formatCode="#,##0"/>
    <numFmt numFmtId="167" formatCode="\₹0"/>
    <numFmt numFmtId="168" formatCode="0.00%"/>
    <numFmt numFmtId="169" formatCode="\₹0.0"/>
    <numFmt numFmtId="170" formatCode="0.0%"/>
    <numFmt numFmtId="171" formatCode="0.00"/>
    <numFmt numFmtId="172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9D08E"/>
        <bgColor rgb="FF99CCFF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13" min="9" style="0" width="9"/>
    <col collapsed="false" customWidth="true" hidden="false" outlineLevel="0" max="14" min="14" style="0" width="8"/>
  </cols>
  <sheetData>
    <row r="1" customFormat="false" ht="45" hidden="false" customHeight="true" outlineLevel="0" collapsed="false">
      <c r="A1" s="1" t="s">
        <v>0</v>
      </c>
      <c r="B1" s="2" t="s">
        <v>1</v>
      </c>
      <c r="C1" s="2"/>
      <c r="D1" s="2"/>
    </row>
    <row r="3" customFormat="false" ht="17.3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customFormat="false" ht="15" hidden="false" customHeight="false" outlineLevel="0" collapsed="false">
      <c r="A5" s="4" t="s">
        <v>17</v>
      </c>
      <c r="B5" s="5" t="n">
        <f aca="false">F5*G5</f>
        <v>103600</v>
      </c>
      <c r="C5" s="6" t="n">
        <f aca="false">ROUND(F5/E5,0)</f>
        <v>2466667</v>
      </c>
      <c r="D5" s="7" t="n">
        <f aca="false">B5/C5*1000</f>
        <v>41.9999943243251</v>
      </c>
      <c r="E5" s="8" t="n">
        <v>0.003</v>
      </c>
      <c r="F5" s="6" t="n">
        <f aca="false">ROUND(I5/J5,0)</f>
        <v>7400</v>
      </c>
      <c r="G5" s="9" t="n">
        <v>14</v>
      </c>
      <c r="H5" s="10" t="n">
        <v>200000</v>
      </c>
      <c r="I5" s="6" t="n">
        <f aca="false">ROUND(H5/L5,0)</f>
        <v>444</v>
      </c>
      <c r="J5" s="11" t="n">
        <v>0.06</v>
      </c>
      <c r="K5" s="7" t="n">
        <f aca="false">B5/I5</f>
        <v>233.333333333333</v>
      </c>
      <c r="L5" s="10" t="n">
        <v>450</v>
      </c>
      <c r="M5" s="12" t="n">
        <f aca="false">B5/H5</f>
        <v>0.518</v>
      </c>
      <c r="N5" s="13" t="n">
        <f aca="false">H5/B5</f>
        <v>1.93050193050193</v>
      </c>
    </row>
    <row r="6" customFormat="false" ht="15" hidden="false" customHeight="false" outlineLevel="0" collapsed="false">
      <c r="A6" s="4" t="s">
        <v>18</v>
      </c>
      <c r="B6" s="5" t="n">
        <f aca="false">F6*G6</f>
        <v>138537</v>
      </c>
      <c r="C6" s="6" t="n">
        <f aca="false">ROUND(F6/E6,0)</f>
        <v>3206875</v>
      </c>
      <c r="D6" s="7" t="n">
        <f aca="false">B6/C6*1000</f>
        <v>43.2</v>
      </c>
      <c r="E6" s="8" t="n">
        <v>0.0032</v>
      </c>
      <c r="F6" s="6" t="n">
        <f aca="false">ROUND(I6/J6,0)</f>
        <v>10262</v>
      </c>
      <c r="G6" s="9" t="n">
        <v>13.5</v>
      </c>
      <c r="H6" s="10" t="n">
        <v>300000</v>
      </c>
      <c r="I6" s="6" t="n">
        <f aca="false">ROUND(H6/L6,0)</f>
        <v>667</v>
      </c>
      <c r="J6" s="11" t="n">
        <v>0.065</v>
      </c>
      <c r="K6" s="7" t="n">
        <f aca="false">B6/I6</f>
        <v>207.701649175412</v>
      </c>
      <c r="L6" s="10" t="n">
        <v>450</v>
      </c>
      <c r="M6" s="12" t="n">
        <f aca="false">B6/H6</f>
        <v>0.46179</v>
      </c>
      <c r="N6" s="13" t="n">
        <f aca="false">H6/B6</f>
        <v>2.16548647653695</v>
      </c>
    </row>
    <row r="7" customFormat="false" ht="15" hidden="false" customHeight="false" outlineLevel="0" collapsed="false">
      <c r="A7" s="4" t="s">
        <v>19</v>
      </c>
      <c r="B7" s="5" t="n">
        <f aca="false">F7*G7</f>
        <v>185718</v>
      </c>
      <c r="C7" s="6" t="n">
        <f aca="false">ROUND(F7/E7,0)</f>
        <v>4081714</v>
      </c>
      <c r="D7" s="7" t="n">
        <f aca="false">B7/C7*1000</f>
        <v>45.5000031849365</v>
      </c>
      <c r="E7" s="8" t="n">
        <v>0.0035</v>
      </c>
      <c r="F7" s="6" t="n">
        <f aca="false">ROUND(I7/J7,0)</f>
        <v>14286</v>
      </c>
      <c r="G7" s="9" t="n">
        <v>13</v>
      </c>
      <c r="H7" s="10" t="n">
        <v>450000</v>
      </c>
      <c r="I7" s="6" t="n">
        <f aca="false">ROUND(H7/L7,0)</f>
        <v>1000</v>
      </c>
      <c r="J7" s="11" t="n">
        <v>0.07</v>
      </c>
      <c r="K7" s="7" t="n">
        <f aca="false">B7/I7</f>
        <v>185.718</v>
      </c>
      <c r="L7" s="10" t="n">
        <v>450</v>
      </c>
      <c r="M7" s="12" t="n">
        <f aca="false">B7/H7</f>
        <v>0.412706666666667</v>
      </c>
      <c r="N7" s="13" t="n">
        <f aca="false">H7/B7</f>
        <v>2.42302846250767</v>
      </c>
    </row>
    <row r="8" customFormat="false" ht="15" hidden="false" customHeight="false" outlineLevel="0" collapsed="false">
      <c r="A8" s="4" t="s">
        <v>20</v>
      </c>
      <c r="B8" s="5" t="n">
        <f aca="false">F8*G8</f>
        <v>222162.5</v>
      </c>
      <c r="C8" s="6" t="n">
        <f aca="false">ROUND(F8/E8,0)</f>
        <v>4803514</v>
      </c>
      <c r="D8" s="7" t="n">
        <f aca="false">B8/C8*1000</f>
        <v>46.2499953159291</v>
      </c>
      <c r="E8" s="8" t="n">
        <v>0.0037</v>
      </c>
      <c r="F8" s="6" t="n">
        <f aca="false">ROUND(I8/J8,0)</f>
        <v>17773</v>
      </c>
      <c r="G8" s="9" t="n">
        <v>12.5</v>
      </c>
      <c r="H8" s="10" t="n">
        <v>600000</v>
      </c>
      <c r="I8" s="6" t="n">
        <f aca="false">ROUND(H8/L8,0)</f>
        <v>1333</v>
      </c>
      <c r="J8" s="11" t="n">
        <v>0.075</v>
      </c>
      <c r="K8" s="7" t="n">
        <f aca="false">B8/I8</f>
        <v>166.663540885221</v>
      </c>
      <c r="L8" s="10" t="n">
        <v>450</v>
      </c>
      <c r="M8" s="12" t="n">
        <f aca="false">B8/H8</f>
        <v>0.370270833333333</v>
      </c>
      <c r="N8" s="13" t="n">
        <f aca="false">H8/B8</f>
        <v>2.70072582006414</v>
      </c>
    </row>
    <row r="9" customFormat="false" ht="15" hidden="false" customHeight="false" outlineLevel="0" collapsed="false">
      <c r="A9" s="4" t="s">
        <v>21</v>
      </c>
      <c r="B9" s="5" t="n">
        <f aca="false">F9*G9</f>
        <v>273540</v>
      </c>
      <c r="C9" s="6" t="n">
        <f aca="false">ROUND(F9/E9,0)</f>
        <v>5844872</v>
      </c>
      <c r="D9" s="7" t="n">
        <f aca="false">B9/C9*1000</f>
        <v>46.7999983575346</v>
      </c>
      <c r="E9" s="8" t="n">
        <v>0.0039</v>
      </c>
      <c r="F9" s="6" t="n">
        <f aca="false">ROUND(I9/J9,0)</f>
        <v>22795</v>
      </c>
      <c r="G9" s="9" t="n">
        <v>12</v>
      </c>
      <c r="H9" s="10" t="n">
        <v>800000</v>
      </c>
      <c r="I9" s="6" t="n">
        <f aca="false">ROUND(H9/L9,0)</f>
        <v>1778</v>
      </c>
      <c r="J9" s="11" t="n">
        <v>0.078</v>
      </c>
      <c r="K9" s="7" t="n">
        <f aca="false">B9/I9</f>
        <v>153.84701912261</v>
      </c>
      <c r="L9" s="10" t="n">
        <v>450</v>
      </c>
      <c r="M9" s="12" t="n">
        <f aca="false">B9/H9</f>
        <v>0.341925</v>
      </c>
      <c r="N9" s="13" t="n">
        <f aca="false">H9/B9</f>
        <v>2.92461797177744</v>
      </c>
    </row>
    <row r="10" customFormat="false" ht="15" hidden="false" customHeight="false" outlineLevel="0" collapsed="false">
      <c r="A10" s="4" t="s">
        <v>22</v>
      </c>
      <c r="B10" s="5" t="n">
        <f aca="false">F10*G10</f>
        <v>333300</v>
      </c>
      <c r="C10" s="6" t="n">
        <f aca="false">ROUND(F10/E10,0)</f>
        <v>6943750</v>
      </c>
      <c r="D10" s="7" t="n">
        <f aca="false">B10/C10*1000</f>
        <v>48</v>
      </c>
      <c r="E10" s="8" t="n">
        <v>0.004</v>
      </c>
      <c r="F10" s="6" t="n">
        <f aca="false">ROUND(I10/J10,0)</f>
        <v>27775</v>
      </c>
      <c r="G10" s="9" t="n">
        <v>12</v>
      </c>
      <c r="H10" s="10" t="n">
        <v>1000000</v>
      </c>
      <c r="I10" s="6" t="n">
        <f aca="false">ROUND(H10/L10,0)</f>
        <v>2222</v>
      </c>
      <c r="J10" s="11" t="n">
        <v>0.08</v>
      </c>
      <c r="K10" s="7" t="n">
        <f aca="false">B10/I10</f>
        <v>150</v>
      </c>
      <c r="L10" s="10" t="n">
        <v>450</v>
      </c>
      <c r="M10" s="12" t="n">
        <f aca="false">B10/H10</f>
        <v>0.3333</v>
      </c>
      <c r="N10" s="13" t="n">
        <f aca="false">H10/B10</f>
        <v>3.000300030003</v>
      </c>
    </row>
    <row r="11" customFormat="false" ht="15" hidden="false" customHeight="false" outlineLevel="0" collapsed="false">
      <c r="A11" s="14" t="s">
        <v>23</v>
      </c>
      <c r="B11" s="15" t="n">
        <f aca="false">SUM(B5:B10)</f>
        <v>1256857.5</v>
      </c>
      <c r="C11" s="16" t="n">
        <f aca="false">SUM(C5:C10)</f>
        <v>27347392</v>
      </c>
      <c r="F11" s="16" t="n">
        <f aca="false">SUM(F5:F10)</f>
        <v>100291</v>
      </c>
      <c r="H11" s="15" t="n">
        <f aca="false">SUM(H5:H10)</f>
        <v>3350000</v>
      </c>
      <c r="I11" s="16" t="n">
        <f aca="false">SUM(I5:I10)</f>
        <v>7444</v>
      </c>
      <c r="M11" s="17" t="n">
        <f aca="false">B11/H11</f>
        <v>0.375181343283582</v>
      </c>
      <c r="N11" s="18" t="n">
        <f aca="false">H11/B11</f>
        <v>2.66537773773081</v>
      </c>
    </row>
    <row r="12" customFormat="false" ht="15" hidden="false" customHeight="false" outlineLevel="0" collapsed="false">
      <c r="A12" s="19" t="s">
        <v>24</v>
      </c>
    </row>
    <row r="14" customFormat="false" ht="15" hidden="false" customHeight="false" outlineLevel="0" collapsed="false">
      <c r="A14" s="1" t="s">
        <v>25</v>
      </c>
      <c r="B14" s="20" t="s">
        <v>26</v>
      </c>
      <c r="C14" s="20"/>
      <c r="D14" s="20"/>
      <c r="E14" s="20"/>
      <c r="F14" s="20"/>
      <c r="G14" s="20"/>
      <c r="H14" s="20"/>
      <c r="I14" s="20"/>
    </row>
    <row r="15" customFormat="false" ht="48" hidden="false" customHeight="true" outlineLevel="0" collapsed="false">
      <c r="A15" s="4" t="s">
        <v>14</v>
      </c>
      <c r="B15" s="2" t="s">
        <v>27</v>
      </c>
      <c r="C15" s="2"/>
      <c r="D15" s="2"/>
      <c r="E15" s="2"/>
      <c r="F15" s="2"/>
      <c r="G15" s="2"/>
      <c r="H15" s="2"/>
      <c r="I15" s="2"/>
    </row>
    <row r="16" customFormat="false" ht="48" hidden="false" customHeight="true" outlineLevel="0" collapsed="false">
      <c r="A16" s="4" t="s">
        <v>10</v>
      </c>
      <c r="B16" s="2" t="s">
        <v>28</v>
      </c>
      <c r="C16" s="2"/>
      <c r="D16" s="2"/>
      <c r="E16" s="2"/>
      <c r="F16" s="2"/>
      <c r="G16" s="2"/>
      <c r="H16" s="2"/>
      <c r="I16" s="2"/>
    </row>
    <row r="17" customFormat="false" ht="48" hidden="false" customHeight="true" outlineLevel="0" collapsed="false">
      <c r="A17" s="4" t="s">
        <v>7</v>
      </c>
      <c r="B17" s="2" t="s">
        <v>29</v>
      </c>
      <c r="C17" s="2"/>
      <c r="D17" s="2"/>
      <c r="E17" s="2"/>
      <c r="F17" s="2"/>
      <c r="G17" s="2"/>
      <c r="H17" s="2"/>
      <c r="I17" s="2"/>
    </row>
    <row r="18" customFormat="false" ht="48" hidden="false" customHeight="true" outlineLevel="0" collapsed="false">
      <c r="A18" s="4" t="s">
        <v>9</v>
      </c>
      <c r="B18" s="2" t="s">
        <v>30</v>
      </c>
      <c r="C18" s="2"/>
      <c r="D18" s="2"/>
      <c r="E18" s="2"/>
      <c r="F18" s="2"/>
      <c r="G18" s="2"/>
      <c r="H18" s="2"/>
      <c r="I18" s="2"/>
    </row>
    <row r="19" customFormat="false" ht="48" hidden="false" customHeight="true" outlineLevel="0" collapsed="false">
      <c r="A19" s="4" t="s">
        <v>12</v>
      </c>
      <c r="B19" s="2" t="s">
        <v>31</v>
      </c>
      <c r="C19" s="2"/>
      <c r="D19" s="2"/>
      <c r="E19" s="2"/>
      <c r="F19" s="2"/>
      <c r="G19" s="2"/>
      <c r="H19" s="2"/>
      <c r="I19" s="2"/>
    </row>
    <row r="20" customFormat="false" ht="48" hidden="false" customHeight="true" outlineLevel="0" collapsed="false">
      <c r="A20" s="4" t="s">
        <v>32</v>
      </c>
      <c r="B20" s="2" t="s">
        <v>33</v>
      </c>
      <c r="C20" s="2"/>
      <c r="D20" s="2"/>
      <c r="E20" s="2"/>
      <c r="F20" s="2"/>
      <c r="G20" s="2"/>
      <c r="H20" s="2"/>
      <c r="I20" s="2"/>
    </row>
    <row r="22" customFormat="false" ht="15" hidden="false" customHeight="false" outlineLevel="0" collapsed="false">
      <c r="A22" s="21" t="s">
        <v>34</v>
      </c>
    </row>
  </sheetData>
  <mergeCells count="9">
    <mergeCell ref="B1:D1"/>
    <mergeCell ref="A3:O3"/>
    <mergeCell ref="B14:I14"/>
    <mergeCell ref="B15:I15"/>
    <mergeCell ref="B16:I16"/>
    <mergeCell ref="B17:I17"/>
    <mergeCell ref="B18:I18"/>
    <mergeCell ref="B19:I19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22" t="s">
        <v>35</v>
      </c>
      <c r="B1" s="22"/>
      <c r="C1" s="22"/>
      <c r="D1" s="22"/>
      <c r="E1" s="22"/>
      <c r="F1" s="22"/>
      <c r="G1" s="22"/>
      <c r="H1" s="22"/>
      <c r="I1" s="22"/>
    </row>
    <row r="3" customFormat="false" ht="15" hidden="false" customHeight="false" outlineLevel="0" collapsed="false">
      <c r="A3" s="1" t="s">
        <v>36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37</v>
      </c>
    </row>
    <row r="4" customFormat="false" ht="15" hidden="false" customHeight="false" outlineLevel="0" collapsed="false">
      <c r="A4" s="14" t="s">
        <v>38</v>
      </c>
      <c r="B4" s="15" t="n">
        <f aca="false">'Media Plan'!B5</f>
        <v>103600</v>
      </c>
      <c r="C4" s="15" t="n">
        <f aca="false">'Media Plan'!B6</f>
        <v>138537</v>
      </c>
      <c r="D4" s="15" t="n">
        <f aca="false">'Media Plan'!B7</f>
        <v>185718</v>
      </c>
      <c r="E4" s="15" t="n">
        <f aca="false">'Media Plan'!B8</f>
        <v>222162.5</v>
      </c>
      <c r="F4" s="15" t="n">
        <f aca="false">'Media Plan'!B9</f>
        <v>273540</v>
      </c>
      <c r="G4" s="15" t="n">
        <f aca="false">'Media Plan'!B10</f>
        <v>333300</v>
      </c>
      <c r="H4" s="15" t="n">
        <f aca="false">SUM(B4:G4)</f>
        <v>1256857.5</v>
      </c>
    </row>
    <row r="5" customFormat="false" ht="30" hidden="false" customHeight="true" outlineLevel="0" collapsed="false">
      <c r="A5" s="23" t="s">
        <v>39</v>
      </c>
      <c r="B5" s="5" t="n">
        <f aca="false">B$4*B14</f>
        <v>46620</v>
      </c>
      <c r="C5" s="5" t="n">
        <f aca="false">C$4*C14</f>
        <v>55414.8</v>
      </c>
      <c r="D5" s="5" t="n">
        <f aca="false">D$4*D14</f>
        <v>65001.3</v>
      </c>
      <c r="E5" s="5" t="n">
        <f aca="false">E$4*E14</f>
        <v>73313.625</v>
      </c>
      <c r="F5" s="5" t="n">
        <f aca="false">F$4*F14</f>
        <v>87532.8</v>
      </c>
      <c r="G5" s="5" t="n">
        <f aca="false">G$4*G14</f>
        <v>106656</v>
      </c>
      <c r="H5" s="24" t="n">
        <f aca="false">SUM(B5:G5)</f>
        <v>434538.525</v>
      </c>
      <c r="I5" s="12" t="n">
        <f aca="false">H5/$H$4</f>
        <v>0.345734122603398</v>
      </c>
    </row>
    <row r="6" customFormat="false" ht="30" hidden="false" customHeight="true" outlineLevel="0" collapsed="false">
      <c r="A6" s="23" t="s">
        <v>40</v>
      </c>
      <c r="B6" s="5" t="n">
        <f aca="false">B$4*B15</f>
        <v>20720</v>
      </c>
      <c r="C6" s="5" t="n">
        <f aca="false">C$4*C15</f>
        <v>24936.66</v>
      </c>
      <c r="D6" s="5" t="n">
        <f aca="false">D$4*D15</f>
        <v>22286.16</v>
      </c>
      <c r="E6" s="5" t="n">
        <f aca="false">E$4*E15</f>
        <v>22216.25</v>
      </c>
      <c r="F6" s="5" t="n">
        <f aca="false">F$4*F15</f>
        <v>21883.2</v>
      </c>
      <c r="G6" s="5" t="n">
        <f aca="false">G$4*G15</f>
        <v>26664</v>
      </c>
      <c r="H6" s="24" t="n">
        <f aca="false">SUM(B6:G6)</f>
        <v>138706.27</v>
      </c>
      <c r="I6" s="12" t="n">
        <f aca="false">H6/$H$4</f>
        <v>0.110359583325874</v>
      </c>
    </row>
    <row r="7" customFormat="false" ht="30" hidden="false" customHeight="true" outlineLevel="0" collapsed="false">
      <c r="A7" s="23" t="s">
        <v>41</v>
      </c>
      <c r="B7" s="5" t="n">
        <f aca="false">B$4*B16</f>
        <v>20720</v>
      </c>
      <c r="C7" s="5" t="n">
        <f aca="false">C$4*C16</f>
        <v>27707.4</v>
      </c>
      <c r="D7" s="5" t="n">
        <f aca="false">D$4*D16</f>
        <v>33429.24</v>
      </c>
      <c r="E7" s="5" t="n">
        <f aca="false">E$4*E16</f>
        <v>37767.625</v>
      </c>
      <c r="F7" s="5" t="n">
        <f aca="false">F$4*F16</f>
        <v>41031</v>
      </c>
      <c r="G7" s="5" t="n">
        <f aca="false">G$4*G16</f>
        <v>49995</v>
      </c>
      <c r="H7" s="24" t="n">
        <f aca="false">SUM(B7:G7)</f>
        <v>210650.265</v>
      </c>
      <c r="I7" s="12" t="n">
        <f aca="false">H7/$H$4</f>
        <v>0.167600754262118</v>
      </c>
    </row>
    <row r="8" customFormat="false" ht="30" hidden="false" customHeight="true" outlineLevel="0" collapsed="false">
      <c r="A8" s="23" t="s">
        <v>42</v>
      </c>
      <c r="B8" s="5" t="n">
        <f aca="false">B$4*B17</f>
        <v>15540</v>
      </c>
      <c r="C8" s="5" t="n">
        <f aca="false">C$4*C17</f>
        <v>20780.55</v>
      </c>
      <c r="D8" s="5" t="n">
        <f aca="false">D$4*D17</f>
        <v>27857.7</v>
      </c>
      <c r="E8" s="5" t="n">
        <f aca="false">E$4*E17</f>
        <v>33324.375</v>
      </c>
      <c r="F8" s="5" t="n">
        <f aca="false">F$4*F17</f>
        <v>41031</v>
      </c>
      <c r="G8" s="5" t="n">
        <f aca="false">G$4*G17</f>
        <v>49995</v>
      </c>
      <c r="H8" s="24" t="n">
        <f aca="false">SUM(B8:G8)</f>
        <v>188528.625</v>
      </c>
      <c r="I8" s="12" t="n">
        <f aca="false">H8/$H$4</f>
        <v>0.15</v>
      </c>
    </row>
    <row r="9" customFormat="false" ht="30" hidden="false" customHeight="true" outlineLevel="0" collapsed="false">
      <c r="A9" s="23" t="s">
        <v>43</v>
      </c>
      <c r="B9" s="5" t="n">
        <f aca="false">B$4*B18</f>
        <v>0</v>
      </c>
      <c r="C9" s="5" t="n">
        <f aca="false">C$4*C18</f>
        <v>0</v>
      </c>
      <c r="D9" s="5" t="n">
        <f aca="false">D$4*D18</f>
        <v>18571.8</v>
      </c>
      <c r="E9" s="5" t="n">
        <f aca="false">E$4*E18</f>
        <v>26659.5</v>
      </c>
      <c r="F9" s="5" t="n">
        <f aca="false">F$4*F18</f>
        <v>41031</v>
      </c>
      <c r="G9" s="5" t="n">
        <f aca="false">G$4*G18</f>
        <v>49995</v>
      </c>
      <c r="H9" s="24" t="n">
        <f aca="false">SUM(B9:G9)</f>
        <v>136257.3</v>
      </c>
      <c r="I9" s="12" t="n">
        <f aca="false">H9/$H$4</f>
        <v>0.108411096723376</v>
      </c>
    </row>
    <row r="10" customFormat="false" ht="30" hidden="false" customHeight="true" outlineLevel="0" collapsed="false">
      <c r="A10" s="23" t="s">
        <v>44</v>
      </c>
      <c r="B10" s="5" t="n">
        <f aca="false">B$4*B19</f>
        <v>0</v>
      </c>
      <c r="C10" s="5" t="n">
        <f aca="false">C$4*C19</f>
        <v>9697.59</v>
      </c>
      <c r="D10" s="5" t="n">
        <f aca="false">D$4*D19</f>
        <v>18571.8</v>
      </c>
      <c r="E10" s="5" t="n">
        <f aca="false">E$4*E19</f>
        <v>28881.125</v>
      </c>
      <c r="F10" s="5" t="n">
        <f aca="false">F$4*F19</f>
        <v>41031</v>
      </c>
      <c r="G10" s="5" t="n">
        <f aca="false">G$4*G19</f>
        <v>49995</v>
      </c>
      <c r="H10" s="24" t="n">
        <f aca="false">SUM(B10:G10)</f>
        <v>148176.515</v>
      </c>
      <c r="I10" s="12" t="n">
        <f aca="false">H10/$H$4</f>
        <v>0.117894443085234</v>
      </c>
    </row>
    <row r="11" customFormat="false" ht="15" hidden="false" customHeight="false" outlineLevel="0" collapsed="false">
      <c r="A11" s="14" t="s">
        <v>23</v>
      </c>
      <c r="B11" s="15" t="n">
        <f aca="false">SUM(B5:B10)</f>
        <v>103600</v>
      </c>
      <c r="C11" s="15" t="n">
        <f aca="false">SUM(C5:C10)</f>
        <v>138537</v>
      </c>
      <c r="D11" s="15" t="n">
        <f aca="false">SUM(D5:D10)</f>
        <v>185718</v>
      </c>
      <c r="E11" s="15" t="n">
        <f aca="false">SUM(E5:E10)</f>
        <v>222162.5</v>
      </c>
      <c r="F11" s="15" t="n">
        <f aca="false">SUM(F5:F10)</f>
        <v>273540</v>
      </c>
      <c r="G11" s="15" t="n">
        <f aca="false">SUM(G5:G10)</f>
        <v>333300</v>
      </c>
      <c r="H11" s="15" t="n">
        <f aca="false">SUM(H5:H10)</f>
        <v>1256857.5</v>
      </c>
    </row>
    <row r="13" customFormat="false" ht="15" hidden="false" customHeight="false" outlineLevel="0" collapsed="false">
      <c r="A13" s="1" t="s">
        <v>45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</row>
    <row r="14" customFormat="false" ht="30" hidden="false" customHeight="true" outlineLevel="0" collapsed="false">
      <c r="A14" s="23" t="s">
        <v>39</v>
      </c>
      <c r="B14" s="25" t="n">
        <v>0.45</v>
      </c>
      <c r="C14" s="25" t="n">
        <v>0.4</v>
      </c>
      <c r="D14" s="25" t="n">
        <v>0.35</v>
      </c>
      <c r="E14" s="25" t="n">
        <v>0.33</v>
      </c>
      <c r="F14" s="25" t="n">
        <v>0.32</v>
      </c>
      <c r="G14" s="25" t="n">
        <v>0.32</v>
      </c>
    </row>
    <row r="15" customFormat="false" ht="30" hidden="false" customHeight="true" outlineLevel="0" collapsed="false">
      <c r="A15" s="23" t="s">
        <v>40</v>
      </c>
      <c r="B15" s="25" t="n">
        <v>0.2</v>
      </c>
      <c r="C15" s="25" t="n">
        <v>0.18</v>
      </c>
      <c r="D15" s="25" t="n">
        <v>0.12</v>
      </c>
      <c r="E15" s="25" t="n">
        <v>0.1</v>
      </c>
      <c r="F15" s="25" t="n">
        <v>0.08</v>
      </c>
      <c r="G15" s="25" t="n">
        <v>0.08</v>
      </c>
    </row>
    <row r="16" customFormat="false" ht="30" hidden="false" customHeight="true" outlineLevel="0" collapsed="false">
      <c r="A16" s="23" t="s">
        <v>41</v>
      </c>
      <c r="B16" s="25" t="n">
        <v>0.2</v>
      </c>
      <c r="C16" s="25" t="n">
        <v>0.2</v>
      </c>
      <c r="D16" s="25" t="n">
        <v>0.18</v>
      </c>
      <c r="E16" s="25" t="n">
        <v>0.17</v>
      </c>
      <c r="F16" s="25" t="n">
        <v>0.15</v>
      </c>
      <c r="G16" s="25" t="n">
        <v>0.15</v>
      </c>
    </row>
    <row r="17" customFormat="false" ht="30" hidden="false" customHeight="true" outlineLevel="0" collapsed="false">
      <c r="A17" s="23" t="s">
        <v>42</v>
      </c>
      <c r="B17" s="25" t="n">
        <v>0.15</v>
      </c>
      <c r="C17" s="25" t="n">
        <v>0.15</v>
      </c>
      <c r="D17" s="25" t="n">
        <v>0.15</v>
      </c>
      <c r="E17" s="25" t="n">
        <v>0.15</v>
      </c>
      <c r="F17" s="25" t="n">
        <v>0.15</v>
      </c>
      <c r="G17" s="25" t="n">
        <v>0.15</v>
      </c>
    </row>
    <row r="18" customFormat="false" ht="30" hidden="false" customHeight="true" outlineLevel="0" collapsed="false">
      <c r="A18" s="23" t="s">
        <v>43</v>
      </c>
      <c r="B18" s="25" t="n">
        <v>0</v>
      </c>
      <c r="C18" s="25" t="n">
        <v>0</v>
      </c>
      <c r="D18" s="25" t="n">
        <v>0.1</v>
      </c>
      <c r="E18" s="25" t="n">
        <v>0.12</v>
      </c>
      <c r="F18" s="25" t="n">
        <v>0.15</v>
      </c>
      <c r="G18" s="25" t="n">
        <v>0.15</v>
      </c>
    </row>
    <row r="19" customFormat="false" ht="30" hidden="false" customHeight="true" outlineLevel="0" collapsed="false">
      <c r="A19" s="23" t="s">
        <v>44</v>
      </c>
      <c r="B19" s="25" t="n">
        <v>0</v>
      </c>
      <c r="C19" s="25" t="n">
        <v>0.07</v>
      </c>
      <c r="D19" s="25" t="n">
        <v>0.1</v>
      </c>
      <c r="E19" s="25" t="n">
        <v>0.13</v>
      </c>
      <c r="F19" s="25" t="n">
        <v>0.15</v>
      </c>
      <c r="G19" s="25" t="n">
        <v>0.15</v>
      </c>
    </row>
    <row r="20" customFormat="false" ht="15" hidden="false" customHeight="false" outlineLevel="0" collapsed="false">
      <c r="A20" s="4" t="s">
        <v>46</v>
      </c>
      <c r="B20" s="26" t="n">
        <f aca="false">SUM(B14:B19)</f>
        <v>1</v>
      </c>
      <c r="C20" s="26" t="n">
        <f aca="false">SUM(C14:C19)</f>
        <v>1</v>
      </c>
      <c r="D20" s="26" t="n">
        <f aca="false">SUM(D14:D19)</f>
        <v>1</v>
      </c>
      <c r="E20" s="26" t="n">
        <f aca="false">SUM(E14:E19)</f>
        <v>1</v>
      </c>
      <c r="F20" s="26" t="n">
        <f aca="false">SUM(F14:F19)</f>
        <v>1</v>
      </c>
      <c r="G20" s="26" t="n">
        <f aca="false">SUM(G14:G19)</f>
        <v>1</v>
      </c>
    </row>
    <row r="22" customFormat="false" ht="15" hidden="false" customHeight="false" outlineLevel="0" collapsed="false">
      <c r="A22" s="1" t="s">
        <v>47</v>
      </c>
      <c r="B22" s="20" t="s">
        <v>48</v>
      </c>
      <c r="C22" s="20"/>
      <c r="D22" s="20"/>
      <c r="E22" s="20"/>
      <c r="F22" s="20"/>
      <c r="G22" s="20"/>
      <c r="H22" s="20"/>
      <c r="I22" s="20"/>
    </row>
    <row r="23" customFormat="false" ht="33.75" hidden="false" customHeight="true" outlineLevel="0" collapsed="false">
      <c r="A23" s="27" t="s">
        <v>49</v>
      </c>
      <c r="B23" s="2" t="s">
        <v>50</v>
      </c>
      <c r="C23" s="2"/>
      <c r="D23" s="2"/>
      <c r="E23" s="2"/>
      <c r="F23" s="2"/>
      <c r="G23" s="2"/>
      <c r="H23" s="2"/>
      <c r="I23" s="2"/>
    </row>
    <row r="24" customFormat="false" ht="33.75" hidden="false" customHeight="true" outlineLevel="0" collapsed="false">
      <c r="A24" s="27" t="s">
        <v>51</v>
      </c>
      <c r="B24" s="2" t="s">
        <v>52</v>
      </c>
      <c r="C24" s="2"/>
      <c r="D24" s="2"/>
      <c r="E24" s="2"/>
      <c r="F24" s="2"/>
      <c r="G24" s="2"/>
      <c r="H24" s="2"/>
      <c r="I24" s="2"/>
    </row>
    <row r="25" customFormat="false" ht="33.75" hidden="false" customHeight="true" outlineLevel="0" collapsed="false">
      <c r="A25" s="27" t="s">
        <v>53</v>
      </c>
      <c r="B25" s="2" t="s">
        <v>54</v>
      </c>
      <c r="C25" s="2"/>
      <c r="D25" s="2"/>
      <c r="E25" s="2"/>
      <c r="F25" s="2"/>
      <c r="G25" s="2"/>
      <c r="H25" s="2"/>
      <c r="I25" s="2"/>
    </row>
  </sheetData>
  <mergeCells count="5">
    <mergeCell ref="A1:I1"/>
    <mergeCell ref="B22:I22"/>
    <mergeCell ref="B23:I23"/>
    <mergeCell ref="B24:I24"/>
    <mergeCell ref="B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10" min="4" style="0" width="12"/>
  </cols>
  <sheetData>
    <row r="1" customFormat="false" ht="16.15" hidden="false" customHeight="false" outlineLevel="0" collapsed="false">
      <c r="A1" s="22" t="s">
        <v>55</v>
      </c>
      <c r="B1" s="22"/>
      <c r="C1" s="22"/>
      <c r="D1" s="22"/>
      <c r="E1" s="22"/>
      <c r="F1" s="22"/>
      <c r="G1" s="22"/>
      <c r="H1" s="22"/>
      <c r="I1" s="22"/>
      <c r="J1" s="22"/>
    </row>
    <row r="3" customFormat="false" ht="15" hidden="false" customHeight="false" outlineLevel="0" collapsed="false">
      <c r="A3" s="1" t="s">
        <v>56</v>
      </c>
      <c r="B3" s="1" t="s">
        <v>57</v>
      </c>
      <c r="C3" s="1" t="s">
        <v>58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</row>
    <row r="4" customFormat="false" ht="15" hidden="false" customHeight="false" outlineLevel="0" collapsed="false">
      <c r="A4" s="4" t="s">
        <v>59</v>
      </c>
      <c r="B4" s="28" t="s">
        <v>60</v>
      </c>
      <c r="C4" s="25" t="n">
        <v>0.15</v>
      </c>
      <c r="D4" s="5" t="n">
        <f aca="false">'Budget Distribution'!B5*C4</f>
        <v>6993</v>
      </c>
      <c r="E4" s="5" t="n">
        <f aca="false">'Budget Distribution'!C5*C4</f>
        <v>8312.22</v>
      </c>
      <c r="F4" s="5" t="n">
        <f aca="false">'Budget Distribution'!D5*C4</f>
        <v>9750.195</v>
      </c>
      <c r="G4" s="5" t="n">
        <f aca="false">'Budget Distribution'!E5*C4</f>
        <v>10997.04375</v>
      </c>
      <c r="H4" s="5" t="n">
        <f aca="false">'Budget Distribution'!F5*C4</f>
        <v>13129.92</v>
      </c>
      <c r="I4" s="5" t="n">
        <f aca="false">'Budget Distribution'!G5*C4</f>
        <v>15998.4</v>
      </c>
      <c r="J4" s="24" t="n">
        <f aca="false">SUM(D4:I4)</f>
        <v>65180.77875</v>
      </c>
    </row>
    <row r="5" customFormat="false" ht="15" hidden="false" customHeight="false" outlineLevel="0" collapsed="false">
      <c r="A5" s="4" t="s">
        <v>59</v>
      </c>
      <c r="B5" s="28" t="s">
        <v>61</v>
      </c>
      <c r="C5" s="25" t="n">
        <v>0.6</v>
      </c>
      <c r="D5" s="5" t="n">
        <f aca="false">'Budget Distribution'!B5*C5</f>
        <v>27972</v>
      </c>
      <c r="E5" s="5" t="n">
        <f aca="false">'Budget Distribution'!C5*C5</f>
        <v>33248.88</v>
      </c>
      <c r="F5" s="5" t="n">
        <f aca="false">'Budget Distribution'!D5*C5</f>
        <v>39000.78</v>
      </c>
      <c r="G5" s="5" t="n">
        <f aca="false">'Budget Distribution'!E5*C5</f>
        <v>43988.175</v>
      </c>
      <c r="H5" s="5" t="n">
        <f aca="false">'Budget Distribution'!F5*C5</f>
        <v>52519.68</v>
      </c>
      <c r="I5" s="5" t="n">
        <f aca="false">'Budget Distribution'!G5*C5</f>
        <v>63993.6</v>
      </c>
      <c r="J5" s="24" t="n">
        <f aca="false">SUM(D5:I5)</f>
        <v>260723.115</v>
      </c>
    </row>
    <row r="6" customFormat="false" ht="15" hidden="false" customHeight="false" outlineLevel="0" collapsed="false">
      <c r="A6" s="4" t="s">
        <v>59</v>
      </c>
      <c r="B6" s="28" t="s">
        <v>62</v>
      </c>
      <c r="C6" s="25" t="n">
        <v>0.25</v>
      </c>
      <c r="D6" s="5" t="n">
        <f aca="false">'Budget Distribution'!B5*C6</f>
        <v>11655</v>
      </c>
      <c r="E6" s="5" t="n">
        <f aca="false">'Budget Distribution'!C5*C6</f>
        <v>13853.7</v>
      </c>
      <c r="F6" s="5" t="n">
        <f aca="false">'Budget Distribution'!D5*C6</f>
        <v>16250.325</v>
      </c>
      <c r="G6" s="5" t="n">
        <f aca="false">'Budget Distribution'!E5*C6</f>
        <v>18328.40625</v>
      </c>
      <c r="H6" s="5" t="n">
        <f aca="false">'Budget Distribution'!F5*C6</f>
        <v>21883.2</v>
      </c>
      <c r="I6" s="5" t="n">
        <f aca="false">'Budget Distribution'!G5*C6</f>
        <v>26664</v>
      </c>
      <c r="J6" s="24" t="n">
        <f aca="false">SUM(D6:I6)</f>
        <v>108634.63125</v>
      </c>
    </row>
    <row r="7" customFormat="false" ht="15" hidden="false" customHeight="false" outlineLevel="0" collapsed="false">
      <c r="A7" s="4" t="s">
        <v>40</v>
      </c>
      <c r="B7" s="28" t="s">
        <v>63</v>
      </c>
      <c r="C7" s="25" t="n">
        <v>1</v>
      </c>
      <c r="D7" s="5" t="n">
        <f aca="false">'Budget Distribution'!B6*C7</f>
        <v>20720</v>
      </c>
      <c r="E7" s="5" t="n">
        <f aca="false">'Budget Distribution'!C6*C7</f>
        <v>24936.66</v>
      </c>
      <c r="F7" s="5" t="n">
        <f aca="false">'Budget Distribution'!D6*C7</f>
        <v>22286.16</v>
      </c>
      <c r="G7" s="5" t="n">
        <f aca="false">'Budget Distribution'!E6*C7</f>
        <v>22216.25</v>
      </c>
      <c r="H7" s="5" t="n">
        <f aca="false">'Budget Distribution'!F6*C7</f>
        <v>21883.2</v>
      </c>
      <c r="I7" s="5" t="n">
        <f aca="false">'Budget Distribution'!G6*C7</f>
        <v>26664</v>
      </c>
      <c r="J7" s="24" t="n">
        <f aca="false">SUM(D7:I7)</f>
        <v>138706.27</v>
      </c>
    </row>
    <row r="8" customFormat="false" ht="15" hidden="false" customHeight="false" outlineLevel="0" collapsed="false">
      <c r="A8" s="4" t="s">
        <v>64</v>
      </c>
      <c r="B8" s="28" t="s">
        <v>65</v>
      </c>
      <c r="C8" s="25" t="n">
        <v>0.55</v>
      </c>
      <c r="D8" s="5" t="n">
        <f aca="false">'Budget Distribution'!B7*C8</f>
        <v>11396</v>
      </c>
      <c r="E8" s="5" t="n">
        <f aca="false">'Budget Distribution'!C7*C8</f>
        <v>15239.07</v>
      </c>
      <c r="F8" s="5" t="n">
        <f aca="false">'Budget Distribution'!D7*C8</f>
        <v>18386.082</v>
      </c>
      <c r="G8" s="5" t="n">
        <f aca="false">'Budget Distribution'!E7*C8</f>
        <v>20772.19375</v>
      </c>
      <c r="H8" s="5" t="n">
        <f aca="false">'Budget Distribution'!F7*C8</f>
        <v>22567.05</v>
      </c>
      <c r="I8" s="5" t="n">
        <f aca="false">'Budget Distribution'!G7*C8</f>
        <v>27497.25</v>
      </c>
      <c r="J8" s="24" t="n">
        <f aca="false">SUM(D8:I8)</f>
        <v>115857.64575</v>
      </c>
    </row>
    <row r="9" customFormat="false" ht="15" hidden="false" customHeight="false" outlineLevel="0" collapsed="false">
      <c r="A9" s="4" t="s">
        <v>64</v>
      </c>
      <c r="B9" s="28" t="s">
        <v>66</v>
      </c>
      <c r="C9" s="25" t="n">
        <v>0.3</v>
      </c>
      <c r="D9" s="5" t="n">
        <f aca="false">'Budget Distribution'!B7*C9</f>
        <v>6216</v>
      </c>
      <c r="E9" s="5" t="n">
        <f aca="false">'Budget Distribution'!C7*C9</f>
        <v>8312.22</v>
      </c>
      <c r="F9" s="5" t="n">
        <f aca="false">'Budget Distribution'!D7*C9</f>
        <v>10028.772</v>
      </c>
      <c r="G9" s="5" t="n">
        <f aca="false">'Budget Distribution'!E7*C9</f>
        <v>11330.2875</v>
      </c>
      <c r="H9" s="5" t="n">
        <f aca="false">'Budget Distribution'!F7*C9</f>
        <v>12309.3</v>
      </c>
      <c r="I9" s="5" t="n">
        <f aca="false">'Budget Distribution'!G7*C9</f>
        <v>14998.5</v>
      </c>
      <c r="J9" s="24" t="n">
        <f aca="false">SUM(D9:I9)</f>
        <v>63195.0795</v>
      </c>
    </row>
    <row r="10" customFormat="false" ht="15" hidden="false" customHeight="false" outlineLevel="0" collapsed="false">
      <c r="A10" s="4" t="s">
        <v>64</v>
      </c>
      <c r="B10" s="28" t="s">
        <v>67</v>
      </c>
      <c r="C10" s="25" t="n">
        <v>0.15</v>
      </c>
      <c r="D10" s="5" t="n">
        <f aca="false">'Budget Distribution'!B7*C10</f>
        <v>3108</v>
      </c>
      <c r="E10" s="5" t="n">
        <f aca="false">'Budget Distribution'!C7*C10</f>
        <v>4156.11</v>
      </c>
      <c r="F10" s="5" t="n">
        <f aca="false">'Budget Distribution'!D7*C10</f>
        <v>5014.386</v>
      </c>
      <c r="G10" s="5" t="n">
        <f aca="false">'Budget Distribution'!E7*C10</f>
        <v>5665.14375</v>
      </c>
      <c r="H10" s="5" t="n">
        <f aca="false">'Budget Distribution'!F7*C10</f>
        <v>6154.65</v>
      </c>
      <c r="I10" s="5" t="n">
        <f aca="false">'Budget Distribution'!G7*C10</f>
        <v>7499.25</v>
      </c>
      <c r="J10" s="24" t="n">
        <f aca="false">SUM(D10:I10)</f>
        <v>31597.53975</v>
      </c>
    </row>
    <row r="11" customFormat="false" ht="15" hidden="false" customHeight="false" outlineLevel="0" collapsed="false">
      <c r="A11" s="4" t="s">
        <v>42</v>
      </c>
      <c r="B11" s="28" t="s">
        <v>68</v>
      </c>
      <c r="C11" s="25" t="n">
        <v>0.25</v>
      </c>
      <c r="D11" s="5" t="n">
        <f aca="false">'Budget Distribution'!B8*C11</f>
        <v>3885</v>
      </c>
      <c r="E11" s="5" t="n">
        <f aca="false">'Budget Distribution'!C8*C11</f>
        <v>5195.1375</v>
      </c>
      <c r="F11" s="5" t="n">
        <f aca="false">'Budget Distribution'!D8*C11</f>
        <v>6964.425</v>
      </c>
      <c r="G11" s="5" t="n">
        <f aca="false">'Budget Distribution'!E8*C11</f>
        <v>8331.09375</v>
      </c>
      <c r="H11" s="5" t="n">
        <f aca="false">'Budget Distribution'!F8*C11</f>
        <v>10257.75</v>
      </c>
      <c r="I11" s="5" t="n">
        <f aca="false">'Budget Distribution'!G8*C11</f>
        <v>12498.75</v>
      </c>
      <c r="J11" s="24" t="n">
        <f aca="false">SUM(D11:I11)</f>
        <v>47132.15625</v>
      </c>
    </row>
    <row r="12" customFormat="false" ht="15" hidden="false" customHeight="false" outlineLevel="0" collapsed="false">
      <c r="A12" s="4" t="s">
        <v>42</v>
      </c>
      <c r="B12" s="28" t="s">
        <v>69</v>
      </c>
      <c r="C12" s="25" t="n">
        <v>0.5</v>
      </c>
      <c r="D12" s="5" t="n">
        <f aca="false">'Budget Distribution'!B8*C12</f>
        <v>7770</v>
      </c>
      <c r="E12" s="5" t="n">
        <f aca="false">'Budget Distribution'!C8*C12</f>
        <v>10390.275</v>
      </c>
      <c r="F12" s="5" t="n">
        <f aca="false">'Budget Distribution'!D8*C12</f>
        <v>13928.85</v>
      </c>
      <c r="G12" s="5" t="n">
        <f aca="false">'Budget Distribution'!E8*C12</f>
        <v>16662.1875</v>
      </c>
      <c r="H12" s="5" t="n">
        <f aca="false">'Budget Distribution'!F8*C12</f>
        <v>20515.5</v>
      </c>
      <c r="I12" s="5" t="n">
        <f aca="false">'Budget Distribution'!G8*C12</f>
        <v>24997.5</v>
      </c>
      <c r="J12" s="24" t="n">
        <f aca="false">SUM(D12:I12)</f>
        <v>94264.3125</v>
      </c>
    </row>
    <row r="13" customFormat="false" ht="15" hidden="false" customHeight="false" outlineLevel="0" collapsed="false">
      <c r="A13" s="4" t="s">
        <v>42</v>
      </c>
      <c r="B13" s="28" t="s">
        <v>70</v>
      </c>
      <c r="C13" s="25" t="n">
        <v>0.25</v>
      </c>
      <c r="D13" s="5" t="n">
        <f aca="false">'Budget Distribution'!B8*C13</f>
        <v>3885</v>
      </c>
      <c r="E13" s="5" t="n">
        <f aca="false">'Budget Distribution'!C8*C13</f>
        <v>5195.1375</v>
      </c>
      <c r="F13" s="5" t="n">
        <f aca="false">'Budget Distribution'!D8*C13</f>
        <v>6964.425</v>
      </c>
      <c r="G13" s="5" t="n">
        <f aca="false">'Budget Distribution'!E8*C13</f>
        <v>8331.09375</v>
      </c>
      <c r="H13" s="5" t="n">
        <f aca="false">'Budget Distribution'!F8*C13</f>
        <v>10257.75</v>
      </c>
      <c r="I13" s="5" t="n">
        <f aca="false">'Budget Distribution'!G8*C13</f>
        <v>12498.75</v>
      </c>
      <c r="J13" s="24" t="n">
        <f aca="false">SUM(D13:I13)</f>
        <v>47132.15625</v>
      </c>
    </row>
    <row r="14" customFormat="false" ht="15" hidden="false" customHeight="false" outlineLevel="0" collapsed="false">
      <c r="A14" s="4" t="s">
        <v>71</v>
      </c>
      <c r="B14" s="28" t="s">
        <v>72</v>
      </c>
      <c r="C14" s="25" t="n">
        <v>1</v>
      </c>
      <c r="D14" s="5" t="n">
        <f aca="false">'Budget Distribution'!B9*C14</f>
        <v>0</v>
      </c>
      <c r="E14" s="5" t="n">
        <f aca="false">'Budget Distribution'!C9*C14</f>
        <v>0</v>
      </c>
      <c r="F14" s="5" t="n">
        <f aca="false">'Budget Distribution'!D9*C14</f>
        <v>18571.8</v>
      </c>
      <c r="G14" s="5" t="n">
        <f aca="false">'Budget Distribution'!E9*C14</f>
        <v>26659.5</v>
      </c>
      <c r="H14" s="5" t="n">
        <f aca="false">'Budget Distribution'!F9*C14</f>
        <v>41031</v>
      </c>
      <c r="I14" s="5" t="n">
        <f aca="false">'Budget Distribution'!G9*C14</f>
        <v>49995</v>
      </c>
      <c r="J14" s="24" t="n">
        <f aca="false">SUM(D14:I14)</f>
        <v>136257.3</v>
      </c>
    </row>
    <row r="15" customFormat="false" ht="15" hidden="false" customHeight="false" outlineLevel="0" collapsed="false">
      <c r="A15" s="4" t="s">
        <v>73</v>
      </c>
      <c r="B15" s="28" t="s">
        <v>74</v>
      </c>
      <c r="C15" s="25" t="n">
        <v>0.2</v>
      </c>
      <c r="D15" s="5" t="n">
        <f aca="false">'Budget Distribution'!B10*C15</f>
        <v>0</v>
      </c>
      <c r="E15" s="5" t="n">
        <f aca="false">'Budget Distribution'!C10*0.3</f>
        <v>2909.277</v>
      </c>
      <c r="F15" s="5" t="n">
        <f aca="false">'Budget Distribution'!D10*C15</f>
        <v>3714.36</v>
      </c>
      <c r="G15" s="5" t="n">
        <f aca="false">'Budget Distribution'!E10*C15</f>
        <v>5776.225</v>
      </c>
      <c r="H15" s="5" t="n">
        <f aca="false">'Budget Distribution'!F10*C15</f>
        <v>8206.2</v>
      </c>
      <c r="I15" s="5" t="n">
        <f aca="false">'Budget Distribution'!G10*C15</f>
        <v>9999</v>
      </c>
      <c r="J15" s="24" t="n">
        <f aca="false">SUM(D15:I15)</f>
        <v>30605.062</v>
      </c>
    </row>
    <row r="16" customFormat="false" ht="15" hidden="false" customHeight="false" outlineLevel="0" collapsed="false">
      <c r="A16" s="4" t="s">
        <v>73</v>
      </c>
      <c r="B16" s="28" t="s">
        <v>75</v>
      </c>
      <c r="C16" s="25" t="n">
        <v>0.15</v>
      </c>
      <c r="D16" s="5" t="n">
        <f aca="false">'Budget Distribution'!B10*C16</f>
        <v>0</v>
      </c>
      <c r="E16" s="5" t="n">
        <f aca="false">'Budget Distribution'!C10*0.2</f>
        <v>1939.518</v>
      </c>
      <c r="F16" s="5" t="n">
        <f aca="false">'Budget Distribution'!D10*C16</f>
        <v>2785.77</v>
      </c>
      <c r="G16" s="5" t="n">
        <f aca="false">'Budget Distribution'!E10*C16</f>
        <v>4332.16875</v>
      </c>
      <c r="H16" s="5" t="n">
        <f aca="false">'Budget Distribution'!F10*C16</f>
        <v>6154.65</v>
      </c>
      <c r="I16" s="5" t="n">
        <f aca="false">'Budget Distribution'!G10*C16</f>
        <v>7499.25</v>
      </c>
      <c r="J16" s="24" t="n">
        <f aca="false">SUM(D16:I16)</f>
        <v>22711.35675</v>
      </c>
    </row>
    <row r="17" customFormat="false" ht="15" hidden="false" customHeight="false" outlineLevel="0" collapsed="false">
      <c r="A17" s="4" t="s">
        <v>73</v>
      </c>
      <c r="B17" s="28" t="s">
        <v>76</v>
      </c>
      <c r="C17" s="25" t="n">
        <v>0.35</v>
      </c>
      <c r="D17" s="5" t="n">
        <f aca="false">'Budget Distribution'!B10*C17</f>
        <v>0</v>
      </c>
      <c r="E17" s="5" t="n">
        <f aca="false">'Budget Distribution'!C10*0.5</f>
        <v>4848.795</v>
      </c>
      <c r="F17" s="5" t="n">
        <f aca="false">'Budget Distribution'!D10*C17</f>
        <v>6500.13</v>
      </c>
      <c r="G17" s="5" t="n">
        <f aca="false">'Budget Distribution'!E10*C17</f>
        <v>10108.39375</v>
      </c>
      <c r="H17" s="5" t="n">
        <f aca="false">'Budget Distribution'!F10*C17</f>
        <v>14360.85</v>
      </c>
      <c r="I17" s="5" t="n">
        <f aca="false">'Budget Distribution'!G10*C17</f>
        <v>17498.25</v>
      </c>
      <c r="J17" s="24" t="n">
        <f aca="false">SUM(D17:I17)</f>
        <v>53316.41875</v>
      </c>
    </row>
    <row r="18" customFormat="false" ht="15" hidden="false" customHeight="false" outlineLevel="0" collapsed="false">
      <c r="A18" s="4" t="s">
        <v>73</v>
      </c>
      <c r="B18" s="28" t="s">
        <v>77</v>
      </c>
      <c r="C18" s="25" t="n">
        <v>0.15</v>
      </c>
      <c r="D18" s="5" t="n">
        <f aca="false">'Budget Distribution'!B10*C18</f>
        <v>0</v>
      </c>
      <c r="E18" s="5" t="n">
        <f aca="false">'Budget Distribution'!C10*0</f>
        <v>0</v>
      </c>
      <c r="F18" s="5" t="n">
        <f aca="false">'Budget Distribution'!D10*C18</f>
        <v>2785.77</v>
      </c>
      <c r="G18" s="5" t="n">
        <f aca="false">'Budget Distribution'!E10*C18</f>
        <v>4332.16875</v>
      </c>
      <c r="H18" s="5" t="n">
        <f aca="false">'Budget Distribution'!F10*C18</f>
        <v>6154.65</v>
      </c>
      <c r="I18" s="5" t="n">
        <f aca="false">'Budget Distribution'!G10*C18</f>
        <v>7499.25</v>
      </c>
      <c r="J18" s="24" t="n">
        <f aca="false">SUM(D18:I18)</f>
        <v>20771.83875</v>
      </c>
    </row>
    <row r="19" customFormat="false" ht="15" hidden="false" customHeight="false" outlineLevel="0" collapsed="false">
      <c r="A19" s="4" t="s">
        <v>73</v>
      </c>
      <c r="B19" s="28" t="s">
        <v>78</v>
      </c>
      <c r="C19" s="25" t="n">
        <v>0.1</v>
      </c>
      <c r="D19" s="5" t="n">
        <f aca="false">'Budget Distribution'!B10*C19</f>
        <v>0</v>
      </c>
      <c r="E19" s="5" t="n">
        <f aca="false">'Budget Distribution'!C10*0</f>
        <v>0</v>
      </c>
      <c r="F19" s="5" t="n">
        <f aca="false">'Budget Distribution'!D10*C19</f>
        <v>1857.18</v>
      </c>
      <c r="G19" s="5" t="n">
        <f aca="false">'Budget Distribution'!E10*C19</f>
        <v>2888.1125</v>
      </c>
      <c r="H19" s="5" t="n">
        <f aca="false">'Budget Distribution'!F10*C19</f>
        <v>4103.1</v>
      </c>
      <c r="I19" s="5" t="n">
        <f aca="false">'Budget Distribution'!G10*C19</f>
        <v>4999.5</v>
      </c>
      <c r="J19" s="24" t="n">
        <f aca="false">SUM(D19:I19)</f>
        <v>13847.8925</v>
      </c>
    </row>
    <row r="20" customFormat="false" ht="15" hidden="false" customHeight="false" outlineLevel="0" collapsed="false">
      <c r="A20" s="4" t="s">
        <v>73</v>
      </c>
      <c r="B20" s="28" t="s">
        <v>79</v>
      </c>
      <c r="C20" s="25" t="n">
        <v>0.05</v>
      </c>
      <c r="D20" s="5" t="n">
        <f aca="false">'Budget Distribution'!B10*C20</f>
        <v>0</v>
      </c>
      <c r="E20" s="5" t="n">
        <f aca="false">'Budget Distribution'!C10*0</f>
        <v>0</v>
      </c>
      <c r="F20" s="5" t="n">
        <f aca="false">'Budget Distribution'!D10*C20</f>
        <v>928.59</v>
      </c>
      <c r="G20" s="5" t="n">
        <f aca="false">'Budget Distribution'!E10*C20</f>
        <v>1444.05625</v>
      </c>
      <c r="H20" s="5" t="n">
        <f aca="false">'Budget Distribution'!F10*C20</f>
        <v>2051.55</v>
      </c>
      <c r="I20" s="5" t="n">
        <f aca="false">'Budget Distribution'!G10*C20</f>
        <v>2499.75</v>
      </c>
      <c r="J20" s="24" t="n">
        <f aca="false">SUM(D20:I20)</f>
        <v>6923.94625</v>
      </c>
    </row>
    <row r="21" customFormat="false" ht="15" hidden="false" customHeight="false" outlineLevel="0" collapsed="false">
      <c r="B21" s="14" t="s">
        <v>23</v>
      </c>
      <c r="D21" s="15" t="n">
        <f aca="false">SUM(D4:D20)</f>
        <v>103600</v>
      </c>
      <c r="E21" s="15" t="n">
        <f aca="false">SUM(E4:E20)</f>
        <v>138537</v>
      </c>
      <c r="F21" s="15" t="n">
        <f aca="false">SUM(F4:F20)</f>
        <v>185718</v>
      </c>
      <c r="G21" s="15" t="n">
        <f aca="false">SUM(G4:G20)</f>
        <v>222162.5</v>
      </c>
      <c r="H21" s="15" t="n">
        <f aca="false">SUM(H4:H20)</f>
        <v>273540</v>
      </c>
      <c r="I21" s="15" t="n">
        <f aca="false">SUM(I4:I20)</f>
        <v>333300</v>
      </c>
      <c r="J21" s="15" t="n">
        <f aca="false">SUM(J4:J20)</f>
        <v>1256857.5</v>
      </c>
    </row>
    <row r="23" customFormat="false" ht="45" hidden="false" customHeight="true" outlineLevel="0" collapsed="false">
      <c r="B23" s="29" t="s">
        <v>80</v>
      </c>
      <c r="C23" s="29"/>
      <c r="D23" s="29"/>
      <c r="E23" s="29"/>
      <c r="F23" s="29"/>
      <c r="G23" s="29"/>
      <c r="H23" s="29"/>
      <c r="I23" s="29"/>
      <c r="J23" s="29"/>
    </row>
  </sheetData>
  <mergeCells count="2">
    <mergeCell ref="A1:J1"/>
    <mergeCell ref="B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44"/>
    <col collapsed="false" customWidth="true" hidden="false" outlineLevel="0" max="4" min="4" style="0" width="30"/>
  </cols>
  <sheetData>
    <row r="1" customFormat="false" ht="39.75" hidden="false" customHeight="true" outlineLevel="0" collapsed="false">
      <c r="A1" s="30" t="s">
        <v>81</v>
      </c>
      <c r="B1" s="30" t="s">
        <v>82</v>
      </c>
      <c r="C1" s="30" t="s">
        <v>83</v>
      </c>
      <c r="D1" s="30" t="s">
        <v>84</v>
      </c>
    </row>
    <row r="2" customFormat="false" ht="39.75" hidden="false" customHeight="true" outlineLevel="0" collapsed="false">
      <c r="A2" s="23" t="s">
        <v>85</v>
      </c>
      <c r="B2" s="23" t="s">
        <v>86</v>
      </c>
      <c r="C2" s="23" t="s">
        <v>87</v>
      </c>
      <c r="D2" s="23" t="s">
        <v>88</v>
      </c>
    </row>
    <row r="3" customFormat="false" ht="39.75" hidden="false" customHeight="true" outlineLevel="0" collapsed="false">
      <c r="A3" s="23" t="s">
        <v>89</v>
      </c>
      <c r="B3" s="23" t="s">
        <v>90</v>
      </c>
      <c r="C3" s="23" t="s">
        <v>91</v>
      </c>
      <c r="D3" s="23" t="s">
        <v>92</v>
      </c>
    </row>
    <row r="4" customFormat="false" ht="39.75" hidden="false" customHeight="true" outlineLevel="0" collapsed="false">
      <c r="A4" s="23" t="s">
        <v>93</v>
      </c>
      <c r="B4" s="23" t="s">
        <v>94</v>
      </c>
      <c r="C4" s="23" t="s">
        <v>95</v>
      </c>
      <c r="D4" s="23" t="s">
        <v>96</v>
      </c>
    </row>
    <row r="5" customFormat="false" ht="39.75" hidden="false" customHeight="true" outlineLevel="0" collapsed="false">
      <c r="A5" s="23" t="s">
        <v>97</v>
      </c>
      <c r="B5" s="23" t="s">
        <v>98</v>
      </c>
      <c r="C5" s="23" t="s">
        <v>99</v>
      </c>
      <c r="D5" s="23" t="s">
        <v>100</v>
      </c>
    </row>
    <row r="6" customFormat="false" ht="39.75" hidden="false" customHeight="true" outlineLevel="0" collapsed="false">
      <c r="A6" s="23" t="s">
        <v>101</v>
      </c>
      <c r="B6" s="23" t="s">
        <v>102</v>
      </c>
      <c r="C6" s="23" t="s">
        <v>103</v>
      </c>
      <c r="D6" s="23" t="s">
        <v>104</v>
      </c>
    </row>
    <row r="7" customFormat="false" ht="39.75" hidden="false" customHeight="true" outlineLevel="0" collapsed="false">
      <c r="A7" s="23" t="s">
        <v>105</v>
      </c>
      <c r="B7" s="23" t="s">
        <v>106</v>
      </c>
      <c r="C7" s="23" t="s">
        <v>107</v>
      </c>
      <c r="D7" s="23" t="s">
        <v>108</v>
      </c>
    </row>
    <row r="8" customFormat="false" ht="39.75" hidden="false" customHeight="true" outlineLevel="0" collapsed="false">
      <c r="A8" s="23" t="s">
        <v>109</v>
      </c>
      <c r="B8" s="23" t="s">
        <v>110</v>
      </c>
      <c r="C8" s="23"/>
      <c r="D8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2026-10-04T13:37:19Z</dcterms:created>
  <dc:creator>openpyxl</dc:creator>
  <dc:description/>
  <dc:language>en-US</dc:language>
  <cp:lastModifiedBy/>
  <dcterms:modified xsi:type="dcterms:W3CDTF">2026-10-04T13:37:19Z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